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28680" windowHeight="13995" activeTab="1"/>
  </bookViews>
  <sheets>
    <sheet name="How it works" sheetId="1" r:id="rId1"/>
    <sheet name="Let's Try it" sheetId="2" r:id="rId2"/>
  </sheets>
  <functionGroups/>
  <calcPr calcId="125725"/>
</workbook>
</file>

<file path=xl/calcChain.xml><?xml version="1.0" encoding="utf-8"?>
<calcChain xmlns="http://schemas.openxmlformats.org/spreadsheetml/2006/main">
  <c r="N17" i="2"/>
  <c r="N16"/>
  <c r="B850"/>
  <c r="B849"/>
  <c r="B848"/>
  <c r="B847"/>
  <c r="B846"/>
  <c r="B845"/>
  <c r="B844"/>
  <c r="B843"/>
  <c r="B842"/>
  <c r="B841"/>
  <c r="B840"/>
  <c r="B839"/>
  <c r="B838"/>
  <c r="B837"/>
  <c r="B836"/>
  <c r="B835"/>
  <c r="B834"/>
  <c r="B833"/>
  <c r="B832"/>
  <c r="B831"/>
  <c r="B830"/>
  <c r="B829"/>
  <c r="B828"/>
  <c r="B827"/>
  <c r="B826"/>
  <c r="B825"/>
  <c r="B824"/>
  <c r="B823"/>
  <c r="B822"/>
  <c r="B821"/>
  <c r="B820"/>
  <c r="B819"/>
  <c r="B818"/>
  <c r="B817"/>
  <c r="B816"/>
  <c r="B815"/>
  <c r="B814"/>
  <c r="B813"/>
  <c r="B812"/>
  <c r="B811"/>
  <c r="B810"/>
  <c r="B809"/>
  <c r="B808"/>
  <c r="B807"/>
  <c r="B806"/>
  <c r="B805"/>
  <c r="B804"/>
  <c r="B803"/>
  <c r="B802"/>
  <c r="B801"/>
  <c r="B800"/>
  <c r="B799"/>
  <c r="B798"/>
  <c r="B797"/>
  <c r="B796"/>
  <c r="B795"/>
  <c r="B794"/>
  <c r="B793"/>
  <c r="B792"/>
  <c r="B791"/>
  <c r="B790"/>
  <c r="B789"/>
  <c r="B788"/>
  <c r="B787"/>
  <c r="B786"/>
  <c r="B785"/>
  <c r="B784"/>
  <c r="B783"/>
  <c r="B782"/>
  <c r="B781"/>
  <c r="B780"/>
  <c r="B779"/>
  <c r="B778"/>
  <c r="B777"/>
  <c r="B776"/>
  <c r="B775"/>
  <c r="B774"/>
  <c r="B773"/>
  <c r="B772"/>
  <c r="B771"/>
  <c r="B770"/>
  <c r="B769"/>
  <c r="B768"/>
  <c r="B767"/>
  <c r="B766"/>
  <c r="B765"/>
  <c r="B764"/>
  <c r="B763"/>
  <c r="B762"/>
  <c r="B761"/>
  <c r="B760"/>
  <c r="B759"/>
  <c r="B758"/>
  <c r="B757"/>
  <c r="B756"/>
  <c r="B755"/>
  <c r="B754"/>
  <c r="B753"/>
  <c r="B752"/>
  <c r="B751"/>
  <c r="B750"/>
  <c r="B749"/>
  <c r="B748"/>
  <c r="B747"/>
  <c r="B746"/>
  <c r="B745"/>
  <c r="B744"/>
  <c r="B743"/>
  <c r="B742"/>
  <c r="B741"/>
  <c r="B740"/>
  <c r="B739"/>
  <c r="B738"/>
  <c r="B737"/>
  <c r="B736"/>
  <c r="B735"/>
  <c r="B734"/>
  <c r="B733"/>
  <c r="B732"/>
  <c r="B731"/>
  <c r="B730"/>
  <c r="B729"/>
  <c r="B728"/>
  <c r="B727"/>
  <c r="B726"/>
  <c r="B725"/>
  <c r="B724"/>
  <c r="B723"/>
  <c r="B722"/>
  <c r="B721"/>
  <c r="B720"/>
  <c r="B719"/>
  <c r="B718"/>
  <c r="B717"/>
  <c r="B716"/>
  <c r="B715"/>
  <c r="B714"/>
  <c r="B713"/>
  <c r="B712"/>
  <c r="B711"/>
  <c r="B710"/>
  <c r="B709"/>
  <c r="B708"/>
  <c r="B707"/>
  <c r="B706"/>
  <c r="B705"/>
  <c r="B704"/>
  <c r="B703"/>
  <c r="B702"/>
  <c r="B701"/>
  <c r="B700"/>
  <c r="B699"/>
  <c r="B698"/>
  <c r="B697"/>
  <c r="B696"/>
  <c r="B695"/>
  <c r="B694"/>
  <c r="B693"/>
  <c r="B692"/>
  <c r="B691"/>
  <c r="B690"/>
  <c r="B689"/>
  <c r="B688"/>
  <c r="B687"/>
  <c r="B686"/>
  <c r="B685"/>
  <c r="B684"/>
  <c r="B683"/>
  <c r="B682"/>
  <c r="B681"/>
  <c r="B680"/>
  <c r="B679"/>
  <c r="B678"/>
  <c r="B677"/>
  <c r="B676"/>
  <c r="B675"/>
  <c r="B674"/>
  <c r="B673"/>
  <c r="B672"/>
  <c r="B671"/>
  <c r="B670"/>
  <c r="B669"/>
  <c r="B668"/>
  <c r="B667"/>
  <c r="B666"/>
  <c r="B665"/>
  <c r="B664"/>
  <c r="B663"/>
  <c r="B662"/>
  <c r="B661"/>
  <c r="B660"/>
  <c r="B659"/>
  <c r="B658"/>
  <c r="B657"/>
  <c r="B656"/>
  <c r="B655"/>
  <c r="B654"/>
  <c r="B653"/>
  <c r="B652"/>
  <c r="B651"/>
  <c r="B650"/>
  <c r="B649"/>
  <c r="B648"/>
  <c r="B647"/>
  <c r="B646"/>
  <c r="B645"/>
  <c r="B644"/>
  <c r="B643"/>
  <c r="B642"/>
  <c r="B641"/>
  <c r="B640"/>
  <c r="B639"/>
  <c r="B638"/>
  <c r="B637"/>
  <c r="B636"/>
  <c r="B635"/>
  <c r="B634"/>
  <c r="B633"/>
  <c r="B632"/>
  <c r="B631"/>
  <c r="B630"/>
  <c r="B629"/>
  <c r="B628"/>
  <c r="B627"/>
  <c r="B626"/>
  <c r="B625"/>
  <c r="B624"/>
  <c r="B623"/>
  <c r="B622"/>
  <c r="B621"/>
  <c r="B620"/>
  <c r="B619"/>
  <c r="B618"/>
  <c r="B617"/>
  <c r="B616"/>
  <c r="B615"/>
  <c r="B614"/>
  <c r="B613"/>
  <c r="B612"/>
  <c r="B611"/>
  <c r="B610"/>
  <c r="B609"/>
  <c r="B608"/>
  <c r="B607"/>
  <c r="B606"/>
  <c r="B605"/>
  <c r="B604"/>
  <c r="B603"/>
  <c r="B602"/>
  <c r="B601"/>
  <c r="B600"/>
  <c r="B599"/>
  <c r="B598"/>
  <c r="B597"/>
  <c r="B596"/>
  <c r="B595"/>
  <c r="B594"/>
  <c r="B593"/>
  <c r="B592"/>
  <c r="B591"/>
  <c r="B590"/>
  <c r="B589"/>
  <c r="B588"/>
  <c r="B587"/>
  <c r="B586"/>
  <c r="B585"/>
  <c r="B584"/>
  <c r="B583"/>
  <c r="B582"/>
  <c r="B581"/>
  <c r="B580"/>
  <c r="B579"/>
  <c r="B578"/>
  <c r="B577"/>
  <c r="B576"/>
  <c r="B575"/>
  <c r="B574"/>
  <c r="B573"/>
  <c r="B572"/>
  <c r="B571"/>
  <c r="B570"/>
  <c r="B569"/>
  <c r="B568"/>
  <c r="B567"/>
  <c r="B566"/>
  <c r="B565"/>
  <c r="B564"/>
  <c r="B563"/>
  <c r="B562"/>
  <c r="B561"/>
  <c r="B560"/>
  <c r="B559"/>
  <c r="B558"/>
  <c r="B557"/>
  <c r="B556"/>
  <c r="B555"/>
  <c r="B554"/>
  <c r="B553"/>
  <c r="B552"/>
  <c r="B551"/>
  <c r="B550"/>
  <c r="B549"/>
  <c r="B548"/>
  <c r="B547"/>
  <c r="B546"/>
  <c r="B545"/>
  <c r="B544"/>
  <c r="B543"/>
  <c r="B542"/>
  <c r="B541"/>
  <c r="B540"/>
  <c r="B539"/>
  <c r="B538"/>
  <c r="B537"/>
  <c r="B536"/>
  <c r="B535"/>
  <c r="B534"/>
  <c r="B533"/>
  <c r="B532"/>
  <c r="B531"/>
  <c r="B530"/>
  <c r="B529"/>
  <c r="B528"/>
  <c r="B527"/>
  <c r="B526"/>
  <c r="B525"/>
  <c r="B524"/>
  <c r="B523"/>
  <c r="B522"/>
  <c r="B521"/>
  <c r="B520"/>
  <c r="B519"/>
  <c r="B518"/>
  <c r="B517"/>
  <c r="B516"/>
  <c r="B515"/>
  <c r="B514"/>
  <c r="B513"/>
  <c r="B512"/>
  <c r="B511"/>
  <c r="B510"/>
  <c r="B509"/>
  <c r="B508"/>
  <c r="B507"/>
  <c r="B506"/>
  <c r="B505"/>
  <c r="B504"/>
  <c r="B503"/>
  <c r="B502"/>
  <c r="B501"/>
  <c r="B500"/>
  <c r="B499"/>
  <c r="B498"/>
  <c r="B497"/>
  <c r="B496"/>
  <c r="B495"/>
  <c r="B494"/>
  <c r="B493"/>
  <c r="B492"/>
  <c r="B491"/>
  <c r="B490"/>
  <c r="B489"/>
  <c r="B488"/>
  <c r="B487"/>
  <c r="B486"/>
  <c r="B485"/>
  <c r="B484"/>
  <c r="B483"/>
  <c r="B482"/>
  <c r="B481"/>
  <c r="B480"/>
  <c r="B479"/>
  <c r="B478"/>
  <c r="B477"/>
  <c r="B476"/>
  <c r="B475"/>
  <c r="B474"/>
  <c r="B473"/>
  <c r="B472"/>
  <c r="B471"/>
  <c r="B470"/>
  <c r="B469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B451"/>
  <c r="B450"/>
  <c r="B449"/>
  <c r="B448"/>
  <c r="B447"/>
  <c r="B446"/>
  <c r="B445"/>
  <c r="B444"/>
  <c r="B443"/>
  <c r="B442"/>
  <c r="B441"/>
  <c r="B440"/>
  <c r="B439"/>
  <c r="B438"/>
  <c r="B437"/>
  <c r="B436"/>
  <c r="B435"/>
  <c r="B434"/>
  <c r="B433"/>
  <c r="B432"/>
  <c r="B431"/>
  <c r="B430"/>
  <c r="B429"/>
  <c r="B428"/>
  <c r="B427"/>
  <c r="B426"/>
  <c r="B425"/>
  <c r="B424"/>
  <c r="B423"/>
  <c r="B422"/>
  <c r="B421"/>
  <c r="B420"/>
  <c r="B419"/>
  <c r="B418"/>
  <c r="B417"/>
  <c r="B416"/>
  <c r="B415"/>
  <c r="B414"/>
  <c r="B413"/>
  <c r="B412"/>
  <c r="B411"/>
  <c r="B410"/>
  <c r="B409"/>
  <c r="B408"/>
  <c r="B407"/>
  <c r="B406"/>
  <c r="B405"/>
  <c r="B404"/>
  <c r="B403"/>
  <c r="B402"/>
  <c r="B401"/>
  <c r="B400"/>
  <c r="B399"/>
  <c r="B398"/>
  <c r="B397"/>
  <c r="B396"/>
  <c r="B395"/>
  <c r="B394"/>
  <c r="B393"/>
  <c r="B392"/>
  <c r="B391"/>
  <c r="B390"/>
  <c r="B389"/>
  <c r="B388"/>
  <c r="B387"/>
  <c r="B386"/>
  <c r="B385"/>
  <c r="B384"/>
  <c r="B383"/>
  <c r="B382"/>
  <c r="B381"/>
  <c r="B380"/>
  <c r="B379"/>
  <c r="B378"/>
  <c r="B377"/>
  <c r="B376"/>
  <c r="B375"/>
  <c r="B374"/>
  <c r="B373"/>
  <c r="B372"/>
  <c r="B371"/>
  <c r="B370"/>
  <c r="B369"/>
  <c r="B368"/>
  <c r="B367"/>
  <c r="B366"/>
  <c r="B365"/>
  <c r="B364"/>
  <c r="B363"/>
  <c r="B362"/>
  <c r="B361"/>
  <c r="B360"/>
  <c r="B359"/>
  <c r="B358"/>
  <c r="B357"/>
  <c r="B356"/>
  <c r="B355"/>
  <c r="B354"/>
  <c r="B353"/>
  <c r="B352"/>
  <c r="B351"/>
  <c r="B350"/>
  <c r="B349"/>
  <c r="B348"/>
  <c r="B347"/>
  <c r="B346"/>
  <c r="B345"/>
  <c r="B344"/>
  <c r="B343"/>
  <c r="B342"/>
  <c r="B341"/>
  <c r="B340"/>
  <c r="B339"/>
  <c r="B338"/>
  <c r="B337"/>
  <c r="B336"/>
  <c r="B335"/>
  <c r="B334"/>
  <c r="B333"/>
  <c r="B332"/>
  <c r="B331"/>
  <c r="B330"/>
  <c r="B329"/>
  <c r="B328"/>
  <c r="B327"/>
  <c r="B326"/>
  <c r="B325"/>
  <c r="B324"/>
  <c r="B323"/>
  <c r="B322"/>
  <c r="B321"/>
  <c r="B320"/>
  <c r="B319"/>
  <c r="B318"/>
  <c r="B317"/>
  <c r="B316"/>
  <c r="B315"/>
  <c r="B314"/>
  <c r="B313"/>
  <c r="B312"/>
  <c r="B311"/>
  <c r="B310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52"/>
  <c r="B251"/>
  <c r="B250"/>
  <c r="B249"/>
  <c r="B248"/>
  <c r="B247"/>
  <c r="B246"/>
  <c r="B245"/>
  <c r="B244"/>
  <c r="B243"/>
  <c r="B242"/>
  <c r="B241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V16"/>
  <c r="C22"/>
  <c r="W11" l="1"/>
  <c r="W10"/>
  <c r="V12"/>
  <c r="V11"/>
  <c r="V10"/>
  <c r="Z16"/>
  <c r="D22"/>
  <c r="M22" l="1"/>
  <c r="H22"/>
  <c r="D23"/>
  <c r="C23"/>
  <c r="M23" l="1"/>
  <c r="J23"/>
  <c r="J22"/>
  <c r="H23"/>
  <c r="H24"/>
  <c r="D2"/>
  <c r="E2" s="1"/>
  <c r="F2" s="1"/>
  <c r="G2" s="1"/>
  <c r="H2" s="1"/>
  <c r="I2" s="1"/>
  <c r="J2" s="1"/>
  <c r="K2" s="1"/>
  <c r="Z30" i="1"/>
  <c r="Y30"/>
  <c r="X30"/>
  <c r="W30"/>
  <c r="C24" i="2"/>
  <c r="E22"/>
  <c r="D24"/>
  <c r="C25"/>
  <c r="E23"/>
  <c r="D25"/>
  <c r="E24"/>
  <c r="M25" l="1"/>
  <c r="J24"/>
  <c r="M24"/>
  <c r="O23"/>
  <c r="O22"/>
  <c r="O24"/>
  <c r="J25"/>
  <c r="H25"/>
  <c r="L2"/>
  <c r="S31" i="1"/>
  <c r="S33"/>
  <c r="D2"/>
  <c r="V10"/>
  <c r="W10"/>
  <c r="C26" i="2"/>
  <c r="E25"/>
  <c r="D26"/>
  <c r="M26" l="1"/>
  <c r="O25"/>
  <c r="J26"/>
  <c r="H26"/>
  <c r="M2"/>
  <c r="N2" s="1"/>
  <c r="O2" s="1"/>
  <c r="K31" i="1"/>
  <c r="K33"/>
  <c r="N31"/>
  <c r="N33"/>
  <c r="O31"/>
  <c r="O33"/>
  <c r="I33"/>
  <c r="I31"/>
  <c r="T33"/>
  <c r="T31"/>
  <c r="F31"/>
  <c r="F33"/>
  <c r="R31"/>
  <c r="R33"/>
  <c r="H31"/>
  <c r="H33"/>
  <c r="E33"/>
  <c r="E31"/>
  <c r="P33"/>
  <c r="P31"/>
  <c r="C31"/>
  <c r="C33"/>
  <c r="U31"/>
  <c r="U33"/>
  <c r="J31"/>
  <c r="J33"/>
  <c r="M33"/>
  <c r="M31"/>
  <c r="D31"/>
  <c r="D33"/>
  <c r="E2"/>
  <c r="F2" s="1"/>
  <c r="G2" s="1"/>
  <c r="H2" s="1"/>
  <c r="I2" s="1"/>
  <c r="J2" s="1"/>
  <c r="K2" s="1"/>
  <c r="C11"/>
  <c r="E9"/>
  <c r="X10"/>
  <c r="Y10"/>
  <c r="V11"/>
  <c r="D27" i="2"/>
  <c r="E26"/>
  <c r="C27"/>
  <c r="W11" i="1"/>
  <c r="Y11"/>
  <c r="M27" i="2" l="1"/>
  <c r="O26"/>
  <c r="J27"/>
  <c r="H27"/>
  <c r="P2"/>
  <c r="C12" i="1"/>
  <c r="F9"/>
  <c r="L2"/>
  <c r="X11"/>
  <c r="V12"/>
  <c r="W12"/>
  <c r="D28" i="2"/>
  <c r="E27"/>
  <c r="C28"/>
  <c r="Y12" i="1"/>
  <c r="V13"/>
  <c r="W13"/>
  <c r="Y13"/>
  <c r="V14"/>
  <c r="W14"/>
  <c r="Y14"/>
  <c r="V15"/>
  <c r="Y15"/>
  <c r="V16"/>
  <c r="W15"/>
  <c r="W16"/>
  <c r="Y16"/>
  <c r="V17"/>
  <c r="Y17"/>
  <c r="W17"/>
  <c r="V18"/>
  <c r="V19"/>
  <c r="W18"/>
  <c r="V20"/>
  <c r="W19"/>
  <c r="Z19" s="1"/>
  <c r="X19"/>
  <c r="X18"/>
  <c r="Z18"/>
  <c r="V21"/>
  <c r="W20"/>
  <c r="W21"/>
  <c r="Z21" s="1"/>
  <c r="V22"/>
  <c r="X20"/>
  <c r="V23"/>
  <c r="W22"/>
  <c r="V24"/>
  <c r="W23"/>
  <c r="X22"/>
  <c r="Z22"/>
  <c r="V25"/>
  <c r="W24"/>
  <c r="X23"/>
  <c r="W25"/>
  <c r="X25"/>
  <c r="X24"/>
  <c r="M28" i="2" l="1"/>
  <c r="O27"/>
  <c r="J28"/>
  <c r="H28"/>
  <c r="Q2"/>
  <c r="M2" i="1"/>
  <c r="N2" s="1"/>
  <c r="O2" s="1"/>
  <c r="G9"/>
  <c r="C13"/>
  <c r="Z23"/>
  <c r="X16"/>
  <c r="X13"/>
  <c r="Y19"/>
  <c r="Z11"/>
  <c r="Z24"/>
  <c r="X17"/>
  <c r="X14"/>
  <c r="Z25"/>
  <c r="Z20"/>
  <c r="X15"/>
  <c r="X12"/>
  <c r="X21"/>
  <c r="Z13"/>
  <c r="Z12"/>
  <c r="Y18"/>
  <c r="Y20"/>
  <c r="D29" i="2"/>
  <c r="E28"/>
  <c r="C29"/>
  <c r="M29" l="1"/>
  <c r="O28"/>
  <c r="J29"/>
  <c r="H29"/>
  <c r="R2"/>
  <c r="C14" i="1"/>
  <c r="H9"/>
  <c r="P2"/>
  <c r="Z10"/>
  <c r="AA18"/>
  <c r="Y21"/>
  <c r="AA13"/>
  <c r="AA20"/>
  <c r="AA11"/>
  <c r="AA19"/>
  <c r="AA12"/>
  <c r="D30" i="2"/>
  <c r="E29"/>
  <c r="C30"/>
  <c r="M30" l="1"/>
  <c r="O29"/>
  <c r="J30"/>
  <c r="H30"/>
  <c r="S2"/>
  <c r="Q2" i="1"/>
  <c r="I9"/>
  <c r="C15"/>
  <c r="Y22"/>
  <c r="Z17"/>
  <c r="AA10"/>
  <c r="AA21"/>
  <c r="D31" i="2"/>
  <c r="E30"/>
  <c r="C31"/>
  <c r="M31" l="1"/>
  <c r="O30"/>
  <c r="J31"/>
  <c r="H31"/>
  <c r="R2" i="1"/>
  <c r="C16"/>
  <c r="J9"/>
  <c r="Z16"/>
  <c r="Y23"/>
  <c r="AA22"/>
  <c r="AA17"/>
  <c r="C32" i="2"/>
  <c r="E31"/>
  <c r="D32"/>
  <c r="M32" l="1"/>
  <c r="O31"/>
  <c r="J32"/>
  <c r="H32"/>
  <c r="S2" i="1"/>
  <c r="K9"/>
  <c r="C17"/>
  <c r="Z14"/>
  <c r="G15"/>
  <c r="H15"/>
  <c r="G13"/>
  <c r="D17"/>
  <c r="J12"/>
  <c r="E16"/>
  <c r="AA16"/>
  <c r="E12"/>
  <c r="D13"/>
  <c r="E11"/>
  <c r="E15"/>
  <c r="Y24"/>
  <c r="D15"/>
  <c r="G10"/>
  <c r="Z15"/>
  <c r="D11"/>
  <c r="I14"/>
  <c r="K12"/>
  <c r="F10"/>
  <c r="F14"/>
  <c r="J15"/>
  <c r="F12"/>
  <c r="E17"/>
  <c r="G14"/>
  <c r="F16"/>
  <c r="K15"/>
  <c r="K11"/>
  <c r="I10"/>
  <c r="I12"/>
  <c r="K13"/>
  <c r="D12"/>
  <c r="I11"/>
  <c r="H16"/>
  <c r="J13"/>
  <c r="H17"/>
  <c r="I15"/>
  <c r="J14"/>
  <c r="J11"/>
  <c r="Y25"/>
  <c r="E14"/>
  <c r="K16"/>
  <c r="I16"/>
  <c r="D16"/>
  <c r="H13"/>
  <c r="I13"/>
  <c r="F13"/>
  <c r="F15"/>
  <c r="G17"/>
  <c r="J10"/>
  <c r="K10"/>
  <c r="H11"/>
  <c r="E10"/>
  <c r="D14"/>
  <c r="E13"/>
  <c r="H10"/>
  <c r="AA23"/>
  <c r="D10"/>
  <c r="F11"/>
  <c r="I17"/>
  <c r="J16"/>
  <c r="F17"/>
  <c r="G16"/>
  <c r="H14"/>
  <c r="H12"/>
  <c r="K14"/>
  <c r="K17"/>
  <c r="J17"/>
  <c r="G12"/>
  <c r="G11"/>
  <c r="C33" i="2"/>
  <c r="E32"/>
  <c r="D33"/>
  <c r="M33" l="1"/>
  <c r="O32"/>
  <c r="J33"/>
  <c r="H33"/>
  <c r="C18" i="1"/>
  <c r="L9"/>
  <c r="AA25"/>
  <c r="H18"/>
  <c r="K18"/>
  <c r="L14"/>
  <c r="L11"/>
  <c r="L13"/>
  <c r="AA15"/>
  <c r="L15"/>
  <c r="G18"/>
  <c r="L18"/>
  <c r="AA14"/>
  <c r="E18"/>
  <c r="AA24"/>
  <c r="J18"/>
  <c r="L17"/>
  <c r="F18"/>
  <c r="L10"/>
  <c r="L16"/>
  <c r="I18"/>
  <c r="L12"/>
  <c r="D18"/>
  <c r="C34" i="2"/>
  <c r="D34"/>
  <c r="E33"/>
  <c r="M34" l="1"/>
  <c r="O33"/>
  <c r="J34"/>
  <c r="H34"/>
  <c r="M9" i="1"/>
  <c r="C19"/>
  <c r="I19"/>
  <c r="M13"/>
  <c r="D19"/>
  <c r="M15"/>
  <c r="G19"/>
  <c r="L19"/>
  <c r="M14"/>
  <c r="M11"/>
  <c r="M10"/>
  <c r="F19"/>
  <c r="M19"/>
  <c r="M16"/>
  <c r="M17"/>
  <c r="J19"/>
  <c r="K19"/>
  <c r="M18"/>
  <c r="H19"/>
  <c r="M12"/>
  <c r="E19"/>
  <c r="E34" i="2"/>
  <c r="C35"/>
  <c r="D35"/>
  <c r="M35" l="1"/>
  <c r="O34"/>
  <c r="J35"/>
  <c r="H35"/>
  <c r="C20" i="1"/>
  <c r="N9"/>
  <c r="N10"/>
  <c r="L20"/>
  <c r="N16"/>
  <c r="N11"/>
  <c r="M20"/>
  <c r="K20"/>
  <c r="H20"/>
  <c r="J20"/>
  <c r="N12"/>
  <c r="N17"/>
  <c r="I20"/>
  <c r="N19"/>
  <c r="G20"/>
  <c r="D20"/>
  <c r="E20"/>
  <c r="N14"/>
  <c r="N20"/>
  <c r="N15"/>
  <c r="N13"/>
  <c r="F20"/>
  <c r="N18"/>
  <c r="E35" i="2"/>
  <c r="C36"/>
  <c r="D36"/>
  <c r="M36" l="1"/>
  <c r="O35"/>
  <c r="J36"/>
  <c r="H36"/>
  <c r="O9" i="1"/>
  <c r="C21"/>
  <c r="O21"/>
  <c r="N21"/>
  <c r="L21"/>
  <c r="E21"/>
  <c r="O16"/>
  <c r="O20"/>
  <c r="O14"/>
  <c r="G21"/>
  <c r="M21"/>
  <c r="O11"/>
  <c r="H21"/>
  <c r="K21"/>
  <c r="J21"/>
  <c r="O17"/>
  <c r="O19"/>
  <c r="O18"/>
  <c r="O15"/>
  <c r="F21"/>
  <c r="I21"/>
  <c r="O10"/>
  <c r="O12"/>
  <c r="D21"/>
  <c r="O13"/>
  <c r="E36" i="2"/>
  <c r="C37"/>
  <c r="E37" s="1"/>
  <c r="D37"/>
  <c r="O37" l="1"/>
  <c r="J37"/>
  <c r="M37"/>
  <c r="H37"/>
  <c r="O36"/>
  <c r="C22" i="1"/>
  <c r="P9"/>
  <c r="P12"/>
  <c r="D22"/>
  <c r="P10"/>
  <c r="P14"/>
  <c r="P22"/>
  <c r="I22"/>
  <c r="J22"/>
  <c r="M22"/>
  <c r="P21"/>
  <c r="F22"/>
  <c r="G22"/>
  <c r="E22"/>
  <c r="P19"/>
  <c r="O22"/>
  <c r="P15"/>
  <c r="P16"/>
  <c r="P13"/>
  <c r="P11"/>
  <c r="N22"/>
  <c r="K22"/>
  <c r="P20"/>
  <c r="L22"/>
  <c r="P17"/>
  <c r="H22"/>
  <c r="P18"/>
  <c r="C38" i="2"/>
  <c r="D38"/>
  <c r="E38"/>
  <c r="O38" l="1"/>
  <c r="J38"/>
  <c r="M38"/>
  <c r="H38"/>
  <c r="Q9" i="1"/>
  <c r="C23"/>
  <c r="Q21"/>
  <c r="Q22"/>
  <c r="F23"/>
  <c r="I23"/>
  <c r="Q17"/>
  <c r="Q23"/>
  <c r="E23"/>
  <c r="Q11"/>
  <c r="L23"/>
  <c r="P23"/>
  <c r="O23"/>
  <c r="H23"/>
  <c r="Q12"/>
  <c r="Q16"/>
  <c r="Q10"/>
  <c r="Q14"/>
  <c r="Q19"/>
  <c r="D23"/>
  <c r="G23"/>
  <c r="N23"/>
  <c r="K23"/>
  <c r="Q15"/>
  <c r="Q18"/>
  <c r="M23"/>
  <c r="Q13"/>
  <c r="Q20"/>
  <c r="J23"/>
  <c r="C39" i="2"/>
  <c r="E39" s="1"/>
  <c r="D39"/>
  <c r="O39" l="1"/>
  <c r="J39"/>
  <c r="M39"/>
  <c r="H39"/>
  <c r="C24" i="1"/>
  <c r="R9"/>
  <c r="R21"/>
  <c r="P24"/>
  <c r="R23"/>
  <c r="R17"/>
  <c r="R12"/>
  <c r="D24"/>
  <c r="F24"/>
  <c r="Q24"/>
  <c r="G24"/>
  <c r="R16"/>
  <c r="R14"/>
  <c r="R13"/>
  <c r="R11"/>
  <c r="I24"/>
  <c r="R10"/>
  <c r="H24"/>
  <c r="R15"/>
  <c r="E24"/>
  <c r="J24"/>
  <c r="R20"/>
  <c r="R18"/>
  <c r="M24"/>
  <c r="R19"/>
  <c r="K24"/>
  <c r="N24"/>
  <c r="R22"/>
  <c r="L24"/>
  <c r="R24"/>
  <c r="O24"/>
  <c r="C40" i="2"/>
  <c r="E40" s="1"/>
  <c r="D40"/>
  <c r="O40" l="1"/>
  <c r="J40"/>
  <c r="M40"/>
  <c r="H40"/>
  <c r="S9" i="1"/>
  <c r="C25"/>
  <c r="S21"/>
  <c r="Q25"/>
  <c r="K25"/>
  <c r="AB13"/>
  <c r="S20"/>
  <c r="AB19"/>
  <c r="N25"/>
  <c r="AB16"/>
  <c r="R25"/>
  <c r="D25"/>
  <c r="S22"/>
  <c r="J25"/>
  <c r="O25"/>
  <c r="AB17"/>
  <c r="S19"/>
  <c r="AB14"/>
  <c r="S18"/>
  <c r="S13"/>
  <c r="I25"/>
  <c r="S25"/>
  <c r="S12"/>
  <c r="AB25"/>
  <c r="S10"/>
  <c r="P25"/>
  <c r="AB12"/>
  <c r="AB18"/>
  <c r="F25"/>
  <c r="G25"/>
  <c r="S14"/>
  <c r="AB23"/>
  <c r="S23"/>
  <c r="AB11"/>
  <c r="S11"/>
  <c r="AB20"/>
  <c r="AB24"/>
  <c r="S16"/>
  <c r="S15"/>
  <c r="S17"/>
  <c r="AB21"/>
  <c r="AB10"/>
  <c r="M25"/>
  <c r="E25"/>
  <c r="S24"/>
  <c r="H25"/>
  <c r="AB22"/>
  <c r="L25"/>
  <c r="C41" i="2"/>
  <c r="D41"/>
  <c r="E41"/>
  <c r="O41" l="1"/>
  <c r="J41"/>
  <c r="M41"/>
  <c r="H41"/>
  <c r="Z32" i="1"/>
  <c r="W32"/>
  <c r="Y32"/>
  <c r="X32"/>
  <c r="AB15"/>
  <c r="D42" i="2"/>
  <c r="C42"/>
  <c r="E42" s="1"/>
  <c r="O42" l="1"/>
  <c r="J42"/>
  <c r="M42"/>
  <c r="H42"/>
  <c r="Z33" i="1"/>
  <c r="Z34"/>
  <c r="R34" s="1"/>
  <c r="X33"/>
  <c r="X34"/>
  <c r="H34" s="1"/>
  <c r="W34"/>
  <c r="C34" s="1"/>
  <c r="W33"/>
  <c r="Y34"/>
  <c r="M34" s="1"/>
  <c r="Y33"/>
  <c r="C43" i="2"/>
  <c r="D43"/>
  <c r="E43"/>
  <c r="O43" l="1"/>
  <c r="J43"/>
  <c r="M43"/>
  <c r="H43"/>
  <c r="T36" i="1"/>
  <c r="O36"/>
  <c r="E36"/>
  <c r="J36"/>
  <c r="I36"/>
  <c r="D36"/>
  <c r="S36"/>
  <c r="N36"/>
  <c r="U36"/>
  <c r="F36"/>
  <c r="K36"/>
  <c r="P36"/>
  <c r="C36"/>
  <c r="H36"/>
  <c r="M36"/>
  <c r="R36"/>
  <c r="D44" i="2"/>
  <c r="C44"/>
  <c r="E44"/>
  <c r="O44" l="1"/>
  <c r="J44"/>
  <c r="M44"/>
  <c r="H44"/>
  <c r="R37" i="1"/>
  <c r="R39"/>
  <c r="S37"/>
  <c r="S39"/>
  <c r="T37"/>
  <c r="T39"/>
  <c r="U37"/>
  <c r="U39"/>
  <c r="N37"/>
  <c r="N39"/>
  <c r="O37"/>
  <c r="O39"/>
  <c r="M37"/>
  <c r="M39"/>
  <c r="P37"/>
  <c r="P39"/>
  <c r="J37"/>
  <c r="J39"/>
  <c r="H37"/>
  <c r="H39"/>
  <c r="K37"/>
  <c r="K39"/>
  <c r="I37"/>
  <c r="I39"/>
  <c r="F37"/>
  <c r="F39"/>
  <c r="D37"/>
  <c r="D39"/>
  <c r="E37"/>
  <c r="E39"/>
  <c r="C37"/>
  <c r="C39"/>
  <c r="X36"/>
  <c r="X38" s="1"/>
  <c r="X40" s="1"/>
  <c r="H40" s="1"/>
  <c r="Y36"/>
  <c r="Y38" s="1"/>
  <c r="Z36"/>
  <c r="Z38" s="1"/>
  <c r="W36"/>
  <c r="W38" s="1"/>
  <c r="C45" i="2"/>
  <c r="D45"/>
  <c r="E45"/>
  <c r="O45" l="1"/>
  <c r="J45"/>
  <c r="M45"/>
  <c r="H45"/>
  <c r="X39" i="1"/>
  <c r="Z39"/>
  <c r="Z40"/>
  <c r="R40" s="1"/>
  <c r="W40"/>
  <c r="C40" s="1"/>
  <c r="W39"/>
  <c r="N42"/>
  <c r="I42"/>
  <c r="S42"/>
  <c r="D42"/>
  <c r="Y40"/>
  <c r="M40" s="1"/>
  <c r="Y39"/>
  <c r="C46" i="2"/>
  <c r="E46" s="1"/>
  <c r="D46"/>
  <c r="O46" l="1"/>
  <c r="J46"/>
  <c r="M46"/>
  <c r="H46"/>
  <c r="I43" i="1"/>
  <c r="I45"/>
  <c r="S43"/>
  <c r="S45"/>
  <c r="D43"/>
  <c r="D45"/>
  <c r="N43"/>
  <c r="N45"/>
  <c r="P42"/>
  <c r="F42"/>
  <c r="K42"/>
  <c r="U42"/>
  <c r="J42"/>
  <c r="E42"/>
  <c r="T42"/>
  <c r="O42"/>
  <c r="R42"/>
  <c r="C42"/>
  <c r="H42"/>
  <c r="M42"/>
  <c r="C47" i="2"/>
  <c r="E47" s="1"/>
  <c r="D47"/>
  <c r="O47" l="1"/>
  <c r="J47"/>
  <c r="M47"/>
  <c r="H47"/>
  <c r="O43" i="1"/>
  <c r="O45"/>
  <c r="J43"/>
  <c r="J45"/>
  <c r="F43"/>
  <c r="F45"/>
  <c r="M43"/>
  <c r="M45"/>
  <c r="E43"/>
  <c r="E45"/>
  <c r="K43"/>
  <c r="K45"/>
  <c r="H43"/>
  <c r="H45"/>
  <c r="R43"/>
  <c r="R45"/>
  <c r="C43"/>
  <c r="C45"/>
  <c r="T43"/>
  <c r="T45"/>
  <c r="U43"/>
  <c r="U45"/>
  <c r="P43"/>
  <c r="P45"/>
  <c r="Z42"/>
  <c r="Z44" s="1"/>
  <c r="Y42"/>
  <c r="Y44" s="1"/>
  <c r="W42"/>
  <c r="W44" s="1"/>
  <c r="X42"/>
  <c r="X44" s="1"/>
  <c r="D48" i="2"/>
  <c r="C48"/>
  <c r="E48" s="1"/>
  <c r="O48" l="1"/>
  <c r="J48"/>
  <c r="M48"/>
  <c r="H48"/>
  <c r="X45" i="1"/>
  <c r="X46"/>
  <c r="H46" s="1"/>
  <c r="Z46"/>
  <c r="R46" s="1"/>
  <c r="Z45"/>
  <c r="Y45"/>
  <c r="Y46"/>
  <c r="M46" s="1"/>
  <c r="W46"/>
  <c r="C46" s="1"/>
  <c r="W45"/>
  <c r="D49" i="2"/>
  <c r="C49"/>
  <c r="E49" s="1"/>
  <c r="O49" l="1"/>
  <c r="J49"/>
  <c r="M49"/>
  <c r="H49"/>
  <c r="W52" i="1"/>
  <c r="M48"/>
  <c r="M49" s="1"/>
  <c r="H48"/>
  <c r="H49" s="1"/>
  <c r="R48"/>
  <c r="R49" s="1"/>
  <c r="C48"/>
  <c r="C49" s="1"/>
  <c r="I48"/>
  <c r="I49" s="1"/>
  <c r="N48"/>
  <c r="N49" s="1"/>
  <c r="S48"/>
  <c r="S49" s="1"/>
  <c r="D48"/>
  <c r="D49" s="1"/>
  <c r="T48"/>
  <c r="T49" s="1"/>
  <c r="E48"/>
  <c r="E49" s="1"/>
  <c r="J48"/>
  <c r="J49" s="1"/>
  <c r="O48"/>
  <c r="O49" s="1"/>
  <c r="P48"/>
  <c r="P49" s="1"/>
  <c r="K48"/>
  <c r="K49" s="1"/>
  <c r="U48"/>
  <c r="U49" s="1"/>
  <c r="F48"/>
  <c r="F49" s="1"/>
  <c r="C50" i="2"/>
  <c r="E50" s="1"/>
  <c r="D50"/>
  <c r="O50" l="1"/>
  <c r="J50"/>
  <c r="M50"/>
  <c r="H50"/>
  <c r="O52" i="1"/>
  <c r="O51"/>
  <c r="N52"/>
  <c r="N51"/>
  <c r="R52"/>
  <c r="R51"/>
  <c r="U52"/>
  <c r="U51"/>
  <c r="F52"/>
  <c r="F51"/>
  <c r="E52"/>
  <c r="E51"/>
  <c r="S52"/>
  <c r="S51"/>
  <c r="C52"/>
  <c r="C51"/>
  <c r="M52"/>
  <c r="M51"/>
  <c r="T52"/>
  <c r="T51"/>
  <c r="P52"/>
  <c r="P51"/>
  <c r="K52"/>
  <c r="K51"/>
  <c r="J52"/>
  <c r="J51"/>
  <c r="D52"/>
  <c r="D51"/>
  <c r="I52"/>
  <c r="I51"/>
  <c r="H52"/>
  <c r="H51"/>
  <c r="W48"/>
  <c r="Y48"/>
  <c r="X48"/>
  <c r="Z48"/>
  <c r="C51" i="2"/>
  <c r="D51"/>
  <c r="E51"/>
  <c r="O51" l="1"/>
  <c r="J51"/>
  <c r="M51"/>
  <c r="H51"/>
  <c r="D52"/>
  <c r="C52"/>
  <c r="E52" s="1"/>
  <c r="O52" l="1"/>
  <c r="J52"/>
  <c r="M52"/>
  <c r="H52"/>
  <c r="C53"/>
  <c r="D53"/>
  <c r="E53"/>
  <c r="O53" l="1"/>
  <c r="J53"/>
  <c r="M53"/>
  <c r="H53"/>
  <c r="C54"/>
  <c r="D54"/>
  <c r="E54"/>
  <c r="O54" l="1"/>
  <c r="J54"/>
  <c r="M54"/>
  <c r="H54"/>
  <c r="C55"/>
  <c r="E55"/>
  <c r="D55"/>
  <c r="O55" l="1"/>
  <c r="J55"/>
  <c r="M55"/>
  <c r="H55"/>
  <c r="C56"/>
  <c r="E56"/>
  <c r="D56"/>
  <c r="O56" l="1"/>
  <c r="J56"/>
  <c r="M56"/>
  <c r="H56"/>
  <c r="C57"/>
  <c r="E57"/>
  <c r="D57"/>
  <c r="O57" l="1"/>
  <c r="J57"/>
  <c r="M57"/>
  <c r="H57"/>
  <c r="C58"/>
  <c r="E58"/>
  <c r="D58"/>
  <c r="O58" l="1"/>
  <c r="J58"/>
  <c r="M58"/>
  <c r="H58"/>
  <c r="C59"/>
  <c r="E59"/>
  <c r="D59"/>
  <c r="O59" l="1"/>
  <c r="J59"/>
  <c r="M59"/>
  <c r="H59"/>
  <c r="C60"/>
  <c r="E60"/>
  <c r="D60"/>
  <c r="O60" l="1"/>
  <c r="J60"/>
  <c r="M60"/>
  <c r="H60"/>
  <c r="C61"/>
  <c r="E61"/>
  <c r="D61"/>
  <c r="O61" l="1"/>
  <c r="J61"/>
  <c r="M61"/>
  <c r="H61"/>
  <c r="C62"/>
  <c r="E62"/>
  <c r="D62"/>
  <c r="O62" l="1"/>
  <c r="J62"/>
  <c r="M62"/>
  <c r="H62"/>
  <c r="C63"/>
  <c r="E63"/>
  <c r="D63"/>
  <c r="O63" l="1"/>
  <c r="J63"/>
  <c r="M63"/>
  <c r="H63"/>
  <c r="C64"/>
  <c r="E64"/>
  <c r="D64"/>
  <c r="O64" l="1"/>
  <c r="J64"/>
  <c r="M64"/>
  <c r="H64"/>
  <c r="C65"/>
  <c r="E65"/>
  <c r="D65"/>
  <c r="O65" l="1"/>
  <c r="J65"/>
  <c r="M65"/>
  <c r="H65"/>
  <c r="C66"/>
  <c r="E66"/>
  <c r="D66"/>
  <c r="O66" l="1"/>
  <c r="J66"/>
  <c r="M66"/>
  <c r="H66"/>
  <c r="C67"/>
  <c r="E67"/>
  <c r="D67"/>
  <c r="O67" l="1"/>
  <c r="J67"/>
  <c r="M67"/>
  <c r="H67"/>
  <c r="C68"/>
  <c r="E68"/>
  <c r="D68"/>
  <c r="O68" l="1"/>
  <c r="J68"/>
  <c r="M68"/>
  <c r="H68"/>
  <c r="C69"/>
  <c r="E69"/>
  <c r="D69"/>
  <c r="O69" l="1"/>
  <c r="J69"/>
  <c r="M69"/>
  <c r="H69"/>
  <c r="C70"/>
  <c r="E70"/>
  <c r="D70"/>
  <c r="O70" l="1"/>
  <c r="J70"/>
  <c r="M70"/>
  <c r="H70"/>
  <c r="C71"/>
  <c r="D71"/>
  <c r="E71"/>
  <c r="O71" l="1"/>
  <c r="J71"/>
  <c r="M71"/>
  <c r="H71"/>
  <c r="C72"/>
  <c r="E72"/>
  <c r="D72"/>
  <c r="O72" l="1"/>
  <c r="J72"/>
  <c r="M72"/>
  <c r="H72"/>
  <c r="C73"/>
  <c r="D73"/>
  <c r="E73"/>
  <c r="O73" l="1"/>
  <c r="J73"/>
  <c r="M73"/>
  <c r="H73"/>
  <c r="C74"/>
  <c r="E74"/>
  <c r="D74"/>
  <c r="O74" l="1"/>
  <c r="J74"/>
  <c r="M74"/>
  <c r="H74"/>
  <c r="C75"/>
  <c r="D75"/>
  <c r="E75"/>
  <c r="O75" l="1"/>
  <c r="J75"/>
  <c r="M75"/>
  <c r="H75"/>
  <c r="C76"/>
  <c r="E76"/>
  <c r="D76"/>
  <c r="O76" l="1"/>
  <c r="J76"/>
  <c r="M76"/>
  <c r="H76"/>
  <c r="C77"/>
  <c r="D77"/>
  <c r="E77"/>
  <c r="O77" l="1"/>
  <c r="J77"/>
  <c r="M77"/>
  <c r="H77"/>
  <c r="C78"/>
  <c r="E78"/>
  <c r="D78"/>
  <c r="O78" l="1"/>
  <c r="J78"/>
  <c r="M78"/>
  <c r="H78"/>
  <c r="C79"/>
  <c r="E79"/>
  <c r="D79"/>
  <c r="O79" l="1"/>
  <c r="J79"/>
  <c r="M79"/>
  <c r="H79"/>
  <c r="C80"/>
  <c r="E80"/>
  <c r="D80"/>
  <c r="O80" l="1"/>
  <c r="J80"/>
  <c r="M80"/>
  <c r="H80"/>
  <c r="C81"/>
  <c r="E81"/>
  <c r="D81"/>
  <c r="O81" l="1"/>
  <c r="J81"/>
  <c r="M81"/>
  <c r="H81"/>
  <c r="C82"/>
  <c r="E82"/>
  <c r="D82"/>
  <c r="O82" l="1"/>
  <c r="J82"/>
  <c r="M82"/>
  <c r="H82"/>
  <c r="C83"/>
  <c r="E83"/>
  <c r="D83"/>
  <c r="O83" l="1"/>
  <c r="J83"/>
  <c r="M83"/>
  <c r="H83"/>
  <c r="C84"/>
  <c r="E84"/>
  <c r="D84"/>
  <c r="O84" l="1"/>
  <c r="J84"/>
  <c r="M84"/>
  <c r="H84"/>
  <c r="C85"/>
  <c r="E85"/>
  <c r="D85"/>
  <c r="O85" l="1"/>
  <c r="J85"/>
  <c r="M85"/>
  <c r="H85"/>
  <c r="C86"/>
  <c r="E86"/>
  <c r="D86"/>
  <c r="O86" l="1"/>
  <c r="J86"/>
  <c r="M86"/>
  <c r="H86"/>
  <c r="C87"/>
  <c r="E87"/>
  <c r="D87"/>
  <c r="O87" l="1"/>
  <c r="J87"/>
  <c r="M87"/>
  <c r="H87"/>
  <c r="C88"/>
  <c r="E88"/>
  <c r="D88"/>
  <c r="O88" l="1"/>
  <c r="J88"/>
  <c r="M88"/>
  <c r="H88"/>
  <c r="C89"/>
  <c r="E89"/>
  <c r="D89"/>
  <c r="O89" l="1"/>
  <c r="J89"/>
  <c r="M89"/>
  <c r="H89"/>
  <c r="C90"/>
  <c r="E90"/>
  <c r="D90"/>
  <c r="O90" l="1"/>
  <c r="J90"/>
  <c r="M90"/>
  <c r="H90"/>
  <c r="C91"/>
  <c r="E91"/>
  <c r="D91"/>
  <c r="O91" l="1"/>
  <c r="J91"/>
  <c r="M91"/>
  <c r="H91"/>
  <c r="C92"/>
  <c r="E92"/>
  <c r="D92"/>
  <c r="O92" l="1"/>
  <c r="J92"/>
  <c r="M92"/>
  <c r="H92"/>
  <c r="C93"/>
  <c r="E93"/>
  <c r="D93"/>
  <c r="O93" l="1"/>
  <c r="J93"/>
  <c r="M93"/>
  <c r="H93"/>
  <c r="C94"/>
  <c r="D94"/>
  <c r="E94"/>
  <c r="O94" l="1"/>
  <c r="J94"/>
  <c r="M94"/>
  <c r="H94"/>
  <c r="C95"/>
  <c r="D95"/>
  <c r="E95"/>
  <c r="O95" l="1"/>
  <c r="J95"/>
  <c r="M95"/>
  <c r="H95"/>
  <c r="C96"/>
  <c r="E96"/>
  <c r="D96"/>
  <c r="O96" l="1"/>
  <c r="J96"/>
  <c r="M96"/>
  <c r="H96"/>
  <c r="C97"/>
  <c r="E97"/>
  <c r="D97"/>
  <c r="O97" l="1"/>
  <c r="J97"/>
  <c r="M97"/>
  <c r="H97"/>
  <c r="C98"/>
  <c r="D98"/>
  <c r="E98"/>
  <c r="O98" l="1"/>
  <c r="J98"/>
  <c r="M98"/>
  <c r="H98"/>
  <c r="C99"/>
  <c r="D99"/>
  <c r="E99"/>
  <c r="O99" l="1"/>
  <c r="J99"/>
  <c r="M99"/>
  <c r="H99"/>
  <c r="C100"/>
  <c r="D100"/>
  <c r="E100"/>
  <c r="O100" l="1"/>
  <c r="J100"/>
  <c r="M100"/>
  <c r="H100"/>
  <c r="C101"/>
  <c r="E101"/>
  <c r="D101"/>
  <c r="O101" l="1"/>
  <c r="J101"/>
  <c r="M101"/>
  <c r="H101"/>
  <c r="C102"/>
  <c r="D102"/>
  <c r="E102"/>
  <c r="O102" l="1"/>
  <c r="J102"/>
  <c r="M102"/>
  <c r="H102"/>
  <c r="C103"/>
  <c r="D103"/>
  <c r="E103"/>
  <c r="O103" l="1"/>
  <c r="J103"/>
  <c r="M103"/>
  <c r="H103"/>
  <c r="C104"/>
  <c r="E104"/>
  <c r="D104"/>
  <c r="O104" l="1"/>
  <c r="J104"/>
  <c r="M104"/>
  <c r="H104"/>
  <c r="C105"/>
  <c r="E105"/>
  <c r="D105"/>
  <c r="O105" l="1"/>
  <c r="J105"/>
  <c r="M105"/>
  <c r="H105"/>
  <c r="C106"/>
  <c r="E106"/>
  <c r="D106"/>
  <c r="O106" l="1"/>
  <c r="J106"/>
  <c r="M106"/>
  <c r="H106"/>
  <c r="C107"/>
  <c r="D107"/>
  <c r="E107"/>
  <c r="O107" l="1"/>
  <c r="J107"/>
  <c r="M107"/>
  <c r="H107"/>
  <c r="C108"/>
  <c r="D108"/>
  <c r="E108"/>
  <c r="O108" l="1"/>
  <c r="J108"/>
  <c r="M108"/>
  <c r="H108"/>
  <c r="C109"/>
  <c r="E109"/>
  <c r="D109"/>
  <c r="O109" l="1"/>
  <c r="J109"/>
  <c r="M109"/>
  <c r="H109"/>
  <c r="C110"/>
  <c r="E110"/>
  <c r="D110"/>
  <c r="O110" l="1"/>
  <c r="J110"/>
  <c r="M110"/>
  <c r="H110"/>
  <c r="C111"/>
  <c r="E111"/>
  <c r="D111"/>
  <c r="O111" l="1"/>
  <c r="J111"/>
  <c r="M111"/>
  <c r="H111"/>
  <c r="C112"/>
  <c r="E112"/>
  <c r="D112"/>
  <c r="O112" l="1"/>
  <c r="J112"/>
  <c r="M112"/>
  <c r="H112"/>
  <c r="C113"/>
  <c r="E113"/>
  <c r="D113"/>
  <c r="O113" l="1"/>
  <c r="J113"/>
  <c r="M113"/>
  <c r="H113"/>
  <c r="C114"/>
  <c r="E114"/>
  <c r="D114"/>
  <c r="O114" l="1"/>
  <c r="J114"/>
  <c r="M114"/>
  <c r="H114"/>
  <c r="C115"/>
  <c r="E115"/>
  <c r="D115"/>
  <c r="O115" l="1"/>
  <c r="J115"/>
  <c r="M115"/>
  <c r="H115"/>
  <c r="C116"/>
  <c r="E116"/>
  <c r="D116"/>
  <c r="O116" l="1"/>
  <c r="J116"/>
  <c r="M116"/>
  <c r="H116"/>
  <c r="C117"/>
  <c r="E117"/>
  <c r="D117"/>
  <c r="O117" l="1"/>
  <c r="J117"/>
  <c r="M117"/>
  <c r="H117"/>
  <c r="C118"/>
  <c r="E118"/>
  <c r="D118"/>
  <c r="O118" l="1"/>
  <c r="J118"/>
  <c r="M118"/>
  <c r="H118"/>
  <c r="C119"/>
  <c r="D119"/>
  <c r="E119"/>
  <c r="O119" l="1"/>
  <c r="J119"/>
  <c r="M119"/>
  <c r="H119"/>
  <c r="C120"/>
  <c r="E120"/>
  <c r="D120"/>
  <c r="O120" l="1"/>
  <c r="J120"/>
  <c r="M120"/>
  <c r="H120"/>
  <c r="C121"/>
  <c r="E121"/>
  <c r="D121"/>
  <c r="O121" l="1"/>
  <c r="J121"/>
  <c r="M121"/>
  <c r="H121"/>
  <c r="C122"/>
  <c r="E122"/>
  <c r="D122"/>
  <c r="O122" l="1"/>
  <c r="J122"/>
  <c r="M122"/>
  <c r="H122"/>
  <c r="C123"/>
  <c r="E123"/>
  <c r="D123"/>
  <c r="O123" l="1"/>
  <c r="J123"/>
  <c r="M123"/>
  <c r="H123"/>
  <c r="C124"/>
  <c r="E124"/>
  <c r="D124"/>
  <c r="O124" l="1"/>
  <c r="J124"/>
  <c r="M124"/>
  <c r="H124"/>
  <c r="C125"/>
  <c r="E125"/>
  <c r="D125"/>
  <c r="O125" l="1"/>
  <c r="J125"/>
  <c r="M125"/>
  <c r="H125"/>
  <c r="C126"/>
  <c r="D126"/>
  <c r="E126"/>
  <c r="O126" l="1"/>
  <c r="J126"/>
  <c r="M126"/>
  <c r="H126"/>
  <c r="C127"/>
  <c r="D127"/>
  <c r="E127"/>
  <c r="O127" l="1"/>
  <c r="J127"/>
  <c r="M127"/>
  <c r="H127"/>
  <c r="C128"/>
  <c r="D128"/>
  <c r="E128"/>
  <c r="O128" l="1"/>
  <c r="J128"/>
  <c r="M128"/>
  <c r="H128"/>
  <c r="C129"/>
  <c r="D129"/>
  <c r="E129"/>
  <c r="O129" l="1"/>
  <c r="J129"/>
  <c r="M129"/>
  <c r="H129"/>
  <c r="C130"/>
  <c r="E130" s="1"/>
  <c r="D130"/>
  <c r="O130" l="1"/>
  <c r="J130"/>
  <c r="M130"/>
  <c r="H130"/>
  <c r="C131"/>
  <c r="E131"/>
  <c r="D131"/>
  <c r="O131" l="1"/>
  <c r="J131"/>
  <c r="M131"/>
  <c r="H131"/>
  <c r="C132"/>
  <c r="D132"/>
  <c r="E132"/>
  <c r="O132" l="1"/>
  <c r="J132"/>
  <c r="M132"/>
  <c r="H132"/>
  <c r="C133"/>
  <c r="D133"/>
  <c r="E133"/>
  <c r="O133" l="1"/>
  <c r="J133"/>
  <c r="M133"/>
  <c r="H133"/>
  <c r="C134"/>
  <c r="D134"/>
  <c r="E134"/>
  <c r="O134" l="1"/>
  <c r="J134"/>
  <c r="M134"/>
  <c r="H134"/>
  <c r="C135"/>
  <c r="D135"/>
  <c r="E135"/>
  <c r="O135" l="1"/>
  <c r="J135"/>
  <c r="M135"/>
  <c r="H135"/>
  <c r="C136"/>
  <c r="D136"/>
  <c r="E136"/>
  <c r="O136" l="1"/>
  <c r="J136"/>
  <c r="M136"/>
  <c r="H136"/>
  <c r="C137"/>
  <c r="E137"/>
  <c r="D137"/>
  <c r="O137" l="1"/>
  <c r="J137"/>
  <c r="M137"/>
  <c r="H137"/>
  <c r="C138"/>
  <c r="D138"/>
  <c r="E138"/>
  <c r="O138" l="1"/>
  <c r="J138"/>
  <c r="M138"/>
  <c r="H138"/>
  <c r="C139"/>
  <c r="D139"/>
  <c r="E139"/>
  <c r="O139" l="1"/>
  <c r="J139"/>
  <c r="M139"/>
  <c r="H139"/>
  <c r="C140"/>
  <c r="D140"/>
  <c r="E140"/>
  <c r="O140" l="1"/>
  <c r="J140"/>
  <c r="M140"/>
  <c r="H140"/>
  <c r="C141"/>
  <c r="D141"/>
  <c r="E141"/>
  <c r="O141" l="1"/>
  <c r="J141"/>
  <c r="M141"/>
  <c r="H141"/>
  <c r="C142"/>
  <c r="E142"/>
  <c r="D142"/>
  <c r="O142" l="1"/>
  <c r="J142"/>
  <c r="M142"/>
  <c r="H142"/>
  <c r="C143"/>
  <c r="D143"/>
  <c r="E143"/>
  <c r="O143" l="1"/>
  <c r="J143"/>
  <c r="M143"/>
  <c r="H143"/>
  <c r="C144"/>
  <c r="D144"/>
  <c r="E144"/>
  <c r="O144" l="1"/>
  <c r="J144"/>
  <c r="M144"/>
  <c r="H144"/>
  <c r="C145"/>
  <c r="E145"/>
  <c r="D145"/>
  <c r="O145" l="1"/>
  <c r="J145"/>
  <c r="M145"/>
  <c r="H145"/>
  <c r="C146"/>
  <c r="D146"/>
  <c r="E146"/>
  <c r="O146" l="1"/>
  <c r="J146"/>
  <c r="M146"/>
  <c r="H146"/>
  <c r="C147"/>
  <c r="D147"/>
  <c r="E147"/>
  <c r="O147" l="1"/>
  <c r="J147"/>
  <c r="M147"/>
  <c r="H147"/>
  <c r="C148"/>
  <c r="D148"/>
  <c r="E148"/>
  <c r="O148" l="1"/>
  <c r="J148"/>
  <c r="M148"/>
  <c r="H148"/>
  <c r="C149"/>
  <c r="D149"/>
  <c r="E149"/>
  <c r="O149" l="1"/>
  <c r="J149"/>
  <c r="M149"/>
  <c r="H149"/>
  <c r="C150"/>
  <c r="D150"/>
  <c r="E150"/>
  <c r="O150" l="1"/>
  <c r="J150"/>
  <c r="M150"/>
  <c r="H150"/>
  <c r="C151"/>
  <c r="D151"/>
  <c r="E151"/>
  <c r="O151" l="1"/>
  <c r="J151"/>
  <c r="M151"/>
  <c r="H151"/>
  <c r="C152"/>
  <c r="D152"/>
  <c r="E152"/>
  <c r="O152" l="1"/>
  <c r="J152"/>
  <c r="M152"/>
  <c r="H152"/>
  <c r="C153"/>
  <c r="D153"/>
  <c r="E153"/>
  <c r="O153" l="1"/>
  <c r="J153"/>
  <c r="M153"/>
  <c r="H153"/>
  <c r="C154"/>
  <c r="D154"/>
  <c r="E154"/>
  <c r="O154" l="1"/>
  <c r="J154"/>
  <c r="M154"/>
  <c r="H154"/>
  <c r="C155"/>
  <c r="D155"/>
  <c r="E155"/>
  <c r="O155" l="1"/>
  <c r="J155"/>
  <c r="M155"/>
  <c r="H155"/>
  <c r="C156"/>
  <c r="E156"/>
  <c r="D156"/>
  <c r="O156" l="1"/>
  <c r="J156"/>
  <c r="M156"/>
  <c r="H156"/>
  <c r="C157"/>
  <c r="D157"/>
  <c r="E157"/>
  <c r="O157" l="1"/>
  <c r="J157"/>
  <c r="M157"/>
  <c r="H157"/>
  <c r="C158"/>
  <c r="D158"/>
  <c r="E158"/>
  <c r="O158" l="1"/>
  <c r="J158"/>
  <c r="M158"/>
  <c r="H158"/>
  <c r="C159"/>
  <c r="D159"/>
  <c r="E159"/>
  <c r="O159" l="1"/>
  <c r="J159"/>
  <c r="M159"/>
  <c r="H159"/>
  <c r="C160"/>
  <c r="D160"/>
  <c r="E160"/>
  <c r="O160" l="1"/>
  <c r="J160"/>
  <c r="M160"/>
  <c r="H160"/>
  <c r="C161"/>
  <c r="D161"/>
  <c r="E161"/>
  <c r="O161" l="1"/>
  <c r="J161"/>
  <c r="M161"/>
  <c r="H161"/>
  <c r="C162"/>
  <c r="D162"/>
  <c r="E162"/>
  <c r="O162" l="1"/>
  <c r="J162"/>
  <c r="M162"/>
  <c r="H162"/>
  <c r="C163"/>
  <c r="D163"/>
  <c r="E163"/>
  <c r="O163" l="1"/>
  <c r="J163"/>
  <c r="M163"/>
  <c r="H163"/>
  <c r="C164"/>
  <c r="D164"/>
  <c r="E164"/>
  <c r="O164" l="1"/>
  <c r="J164"/>
  <c r="M164"/>
  <c r="H164"/>
  <c r="C165"/>
  <c r="D165"/>
  <c r="E165"/>
  <c r="O165" l="1"/>
  <c r="J165"/>
  <c r="M165"/>
  <c r="H165"/>
  <c r="C166"/>
  <c r="D166"/>
  <c r="E166"/>
  <c r="O166" l="1"/>
  <c r="J166"/>
  <c r="M166"/>
  <c r="H166"/>
  <c r="C167"/>
  <c r="E167"/>
  <c r="D167"/>
  <c r="O167" l="1"/>
  <c r="J167"/>
  <c r="M167"/>
  <c r="H167"/>
  <c r="C168"/>
  <c r="D168"/>
  <c r="E168"/>
  <c r="O168" l="1"/>
  <c r="J168"/>
  <c r="M168"/>
  <c r="H168"/>
  <c r="C169"/>
  <c r="D169"/>
  <c r="E169"/>
  <c r="O169" l="1"/>
  <c r="J169"/>
  <c r="M169"/>
  <c r="H169"/>
  <c r="C170"/>
  <c r="E170"/>
  <c r="D170"/>
  <c r="O170" l="1"/>
  <c r="J170"/>
  <c r="M170"/>
  <c r="H170"/>
  <c r="C171"/>
  <c r="D171"/>
  <c r="E171"/>
  <c r="O171" l="1"/>
  <c r="J171"/>
  <c r="M171"/>
  <c r="H171"/>
  <c r="C172"/>
  <c r="D172"/>
  <c r="E172"/>
  <c r="O172" l="1"/>
  <c r="J172"/>
  <c r="M172"/>
  <c r="H172"/>
  <c r="D173"/>
  <c r="C173"/>
  <c r="E173" s="1"/>
  <c r="O173" l="1"/>
  <c r="J173"/>
  <c r="M173"/>
  <c r="H173"/>
  <c r="C174"/>
  <c r="D174"/>
  <c r="E174"/>
  <c r="O174" l="1"/>
  <c r="J174"/>
  <c r="M174"/>
  <c r="H174"/>
  <c r="C175"/>
  <c r="D175"/>
  <c r="E175"/>
  <c r="O175" l="1"/>
  <c r="J175"/>
  <c r="M175"/>
  <c r="H175"/>
  <c r="C176"/>
  <c r="D176"/>
  <c r="E176"/>
  <c r="O176" l="1"/>
  <c r="J176"/>
  <c r="M176"/>
  <c r="H176"/>
  <c r="C177"/>
  <c r="D177"/>
  <c r="E177"/>
  <c r="O177" l="1"/>
  <c r="J177"/>
  <c r="M177"/>
  <c r="H177"/>
  <c r="C178"/>
  <c r="D178"/>
  <c r="E178"/>
  <c r="O178" l="1"/>
  <c r="J178"/>
  <c r="M178"/>
  <c r="H178"/>
  <c r="D179"/>
  <c r="C179"/>
  <c r="E179" s="1"/>
  <c r="O179" l="1"/>
  <c r="J179"/>
  <c r="M179"/>
  <c r="H179"/>
  <c r="C180"/>
  <c r="D180"/>
  <c r="E180"/>
  <c r="O180" l="1"/>
  <c r="J180"/>
  <c r="M180"/>
  <c r="H180"/>
  <c r="C181"/>
  <c r="D181"/>
  <c r="E181"/>
  <c r="O181" l="1"/>
  <c r="J181"/>
  <c r="M181"/>
  <c r="H181"/>
  <c r="C182"/>
  <c r="D182"/>
  <c r="E182"/>
  <c r="O182" l="1"/>
  <c r="J182"/>
  <c r="M182"/>
  <c r="H182"/>
  <c r="C183"/>
  <c r="D183"/>
  <c r="E183"/>
  <c r="O183" l="1"/>
  <c r="J183"/>
  <c r="M183"/>
  <c r="H183"/>
  <c r="C184"/>
  <c r="D184"/>
  <c r="E184"/>
  <c r="O184" l="1"/>
  <c r="J184"/>
  <c r="M184"/>
  <c r="H184"/>
  <c r="D185"/>
  <c r="C185"/>
  <c r="E185" s="1"/>
  <c r="O185" l="1"/>
  <c r="J185"/>
  <c r="M185"/>
  <c r="H185"/>
  <c r="C186"/>
  <c r="D186"/>
  <c r="E186"/>
  <c r="O186" l="1"/>
  <c r="J186"/>
  <c r="M186"/>
  <c r="H186"/>
  <c r="C187"/>
  <c r="D187"/>
  <c r="E187"/>
  <c r="O187" l="1"/>
  <c r="J187"/>
  <c r="M187"/>
  <c r="H187"/>
  <c r="D188"/>
  <c r="C188"/>
  <c r="E188" s="1"/>
  <c r="O188" l="1"/>
  <c r="J188"/>
  <c r="M188"/>
  <c r="H188"/>
  <c r="C189"/>
  <c r="D189"/>
  <c r="E189"/>
  <c r="O189" l="1"/>
  <c r="J189"/>
  <c r="M189"/>
  <c r="H189"/>
  <c r="C190"/>
  <c r="D190"/>
  <c r="E190"/>
  <c r="O190" l="1"/>
  <c r="J190"/>
  <c r="M190"/>
  <c r="H190"/>
  <c r="C191"/>
  <c r="D191"/>
  <c r="E191"/>
  <c r="O191" l="1"/>
  <c r="J191"/>
  <c r="M191"/>
  <c r="H191"/>
  <c r="C192"/>
  <c r="E192"/>
  <c r="D192"/>
  <c r="O192" l="1"/>
  <c r="J192"/>
  <c r="M192"/>
  <c r="H192"/>
  <c r="C193"/>
  <c r="D193"/>
  <c r="E193"/>
  <c r="O193" l="1"/>
  <c r="J193"/>
  <c r="M193"/>
  <c r="H193"/>
  <c r="C194"/>
  <c r="D194"/>
  <c r="E194"/>
  <c r="O194" l="1"/>
  <c r="J194"/>
  <c r="M194"/>
  <c r="H194"/>
  <c r="D195"/>
  <c r="C195"/>
  <c r="E195" s="1"/>
  <c r="O195" l="1"/>
  <c r="J195"/>
  <c r="M195"/>
  <c r="H195"/>
  <c r="C196"/>
  <c r="D196"/>
  <c r="E196"/>
  <c r="O196" l="1"/>
  <c r="J196"/>
  <c r="M196"/>
  <c r="H196"/>
  <c r="C197"/>
  <c r="D197"/>
  <c r="E197"/>
  <c r="O197" l="1"/>
  <c r="J197"/>
  <c r="M197"/>
  <c r="H197"/>
  <c r="D198"/>
  <c r="C198"/>
  <c r="E198" s="1"/>
  <c r="O198" l="1"/>
  <c r="J198"/>
  <c r="M198"/>
  <c r="H198"/>
  <c r="C199"/>
  <c r="D199"/>
  <c r="E199"/>
  <c r="O199" l="1"/>
  <c r="J199"/>
  <c r="M199"/>
  <c r="H199"/>
  <c r="C200"/>
  <c r="D200"/>
  <c r="E200"/>
  <c r="O200" l="1"/>
  <c r="J200"/>
  <c r="M200"/>
  <c r="H200"/>
  <c r="D201"/>
  <c r="C201"/>
  <c r="E201" s="1"/>
  <c r="O201" l="1"/>
  <c r="J201"/>
  <c r="M201"/>
  <c r="H201"/>
  <c r="C202"/>
  <c r="D202"/>
  <c r="E202"/>
  <c r="O202" l="1"/>
  <c r="J202"/>
  <c r="M202"/>
  <c r="H202"/>
  <c r="D203"/>
  <c r="C203"/>
  <c r="E203" s="1"/>
  <c r="O203" l="1"/>
  <c r="J203"/>
  <c r="M203"/>
  <c r="H203"/>
  <c r="C204"/>
  <c r="D204"/>
  <c r="E204"/>
  <c r="O204" l="1"/>
  <c r="J204"/>
  <c r="M204"/>
  <c r="H204"/>
  <c r="C205"/>
  <c r="D205"/>
  <c r="E205"/>
  <c r="O205" l="1"/>
  <c r="J205"/>
  <c r="M205"/>
  <c r="H205"/>
  <c r="C206"/>
  <c r="D206"/>
  <c r="E206"/>
  <c r="O206" l="1"/>
  <c r="J206"/>
  <c r="M206"/>
  <c r="H206"/>
  <c r="D207"/>
  <c r="C207"/>
  <c r="E207" s="1"/>
  <c r="O207" l="1"/>
  <c r="J207"/>
  <c r="M207"/>
  <c r="H207"/>
  <c r="C208"/>
  <c r="D208"/>
  <c r="E208"/>
  <c r="O208" l="1"/>
  <c r="J208"/>
  <c r="M208"/>
  <c r="H208"/>
  <c r="C209"/>
  <c r="D209"/>
  <c r="E209"/>
  <c r="O209" l="1"/>
  <c r="J209"/>
  <c r="M209"/>
  <c r="H209"/>
  <c r="C210"/>
  <c r="E210"/>
  <c r="D210"/>
  <c r="O210" l="1"/>
  <c r="J210"/>
  <c r="M210"/>
  <c r="H210"/>
  <c r="C211"/>
  <c r="D211"/>
  <c r="E211"/>
  <c r="O211" l="1"/>
  <c r="J211"/>
  <c r="M211"/>
  <c r="H211"/>
  <c r="C212"/>
  <c r="D212"/>
  <c r="E212"/>
  <c r="O212" l="1"/>
  <c r="J212"/>
  <c r="M212"/>
  <c r="H212"/>
  <c r="C213"/>
  <c r="E213"/>
  <c r="D213"/>
  <c r="O213" l="1"/>
  <c r="J213"/>
  <c r="M213"/>
  <c r="H213"/>
  <c r="C214"/>
  <c r="D214"/>
  <c r="E214"/>
  <c r="O214" l="1"/>
  <c r="J214"/>
  <c r="M214"/>
  <c r="H214"/>
  <c r="C215"/>
  <c r="D215"/>
  <c r="E215"/>
  <c r="O215" l="1"/>
  <c r="J215"/>
  <c r="M215"/>
  <c r="H215"/>
  <c r="D216"/>
  <c r="C216"/>
  <c r="E216" s="1"/>
  <c r="O216" l="1"/>
  <c r="J216"/>
  <c r="M216"/>
  <c r="H216"/>
  <c r="C217"/>
  <c r="D217"/>
  <c r="E217"/>
  <c r="O217" l="1"/>
  <c r="J217"/>
  <c r="M217"/>
  <c r="H217"/>
  <c r="C218"/>
  <c r="D218"/>
  <c r="E218"/>
  <c r="O218" l="1"/>
  <c r="J218"/>
  <c r="M218"/>
  <c r="H218"/>
  <c r="C219"/>
  <c r="D219"/>
  <c r="E219"/>
  <c r="O219" l="1"/>
  <c r="J219"/>
  <c r="M219"/>
  <c r="H219"/>
  <c r="C220"/>
  <c r="D220"/>
  <c r="E220"/>
  <c r="O220" l="1"/>
  <c r="J220"/>
  <c r="M220"/>
  <c r="H220"/>
  <c r="C221"/>
  <c r="D221"/>
  <c r="E221"/>
  <c r="O221" l="1"/>
  <c r="J221"/>
  <c r="M221"/>
  <c r="H221"/>
  <c r="C222"/>
  <c r="E222" s="1"/>
  <c r="D222"/>
  <c r="O222" l="1"/>
  <c r="J222"/>
  <c r="M222"/>
  <c r="H222"/>
  <c r="C223"/>
  <c r="D223"/>
  <c r="E223"/>
  <c r="O223" l="1"/>
  <c r="J223"/>
  <c r="M223"/>
  <c r="H223"/>
  <c r="C224"/>
  <c r="D224"/>
  <c r="E224"/>
  <c r="O224" l="1"/>
  <c r="J224"/>
  <c r="M224"/>
  <c r="H224"/>
  <c r="D225"/>
  <c r="C225"/>
  <c r="E225" s="1"/>
  <c r="O225" l="1"/>
  <c r="J225"/>
  <c r="M225"/>
  <c r="H225"/>
  <c r="C226"/>
  <c r="D226"/>
  <c r="E226"/>
  <c r="O226" l="1"/>
  <c r="J226"/>
  <c r="M226"/>
  <c r="H226"/>
  <c r="C227"/>
  <c r="D227"/>
  <c r="E227"/>
  <c r="O227" l="1"/>
  <c r="J227"/>
  <c r="M227"/>
  <c r="H227"/>
  <c r="D228"/>
  <c r="C228"/>
  <c r="E228" s="1"/>
  <c r="O228" l="1"/>
  <c r="J228"/>
  <c r="M228"/>
  <c r="H228"/>
  <c r="C229"/>
  <c r="D229"/>
  <c r="E229"/>
  <c r="O229" l="1"/>
  <c r="J229"/>
  <c r="M229"/>
  <c r="H229"/>
  <c r="C230"/>
  <c r="D230"/>
  <c r="E230"/>
  <c r="O230" l="1"/>
  <c r="J230"/>
  <c r="M230"/>
  <c r="H230"/>
  <c r="C231"/>
  <c r="E231"/>
  <c r="D231"/>
  <c r="O231" l="1"/>
  <c r="J231"/>
  <c r="M231"/>
  <c r="H231"/>
  <c r="C232"/>
  <c r="D232"/>
  <c r="E232"/>
  <c r="O232" l="1"/>
  <c r="J232"/>
  <c r="M232"/>
  <c r="H232"/>
  <c r="C233"/>
  <c r="D233"/>
  <c r="E233"/>
  <c r="O233" l="1"/>
  <c r="J233"/>
  <c r="M233"/>
  <c r="H233"/>
  <c r="D234"/>
  <c r="C234"/>
  <c r="E234" s="1"/>
  <c r="O234" l="1"/>
  <c r="J234"/>
  <c r="M234"/>
  <c r="H234"/>
  <c r="C235"/>
  <c r="D235"/>
  <c r="E235"/>
  <c r="O235" l="1"/>
  <c r="J235"/>
  <c r="M235"/>
  <c r="H235"/>
  <c r="C236"/>
  <c r="D236"/>
  <c r="E236"/>
  <c r="O236" l="1"/>
  <c r="J236"/>
  <c r="M236"/>
  <c r="H236"/>
  <c r="C237"/>
  <c r="E237"/>
  <c r="D237"/>
  <c r="O237" l="1"/>
  <c r="J237"/>
  <c r="M237"/>
  <c r="H237"/>
  <c r="C238"/>
  <c r="D238"/>
  <c r="E238"/>
  <c r="O238" l="1"/>
  <c r="J238"/>
  <c r="M238"/>
  <c r="H238"/>
  <c r="C239"/>
  <c r="D239"/>
  <c r="E239"/>
  <c r="O239" l="1"/>
  <c r="J239"/>
  <c r="M239"/>
  <c r="H239"/>
  <c r="C240"/>
  <c r="E240" s="1"/>
  <c r="D240"/>
  <c r="O240" l="1"/>
  <c r="J240"/>
  <c r="M240"/>
  <c r="H240"/>
  <c r="C241"/>
  <c r="D241"/>
  <c r="E241"/>
  <c r="O241" l="1"/>
  <c r="J241"/>
  <c r="M241"/>
  <c r="H241"/>
  <c r="C242"/>
  <c r="D242"/>
  <c r="E242"/>
  <c r="O242" l="1"/>
  <c r="J242"/>
  <c r="M242"/>
  <c r="H242"/>
  <c r="C243"/>
  <c r="D243"/>
  <c r="E243"/>
  <c r="O243" l="1"/>
  <c r="J243"/>
  <c r="M243"/>
  <c r="H243"/>
  <c r="C244"/>
  <c r="D244"/>
  <c r="E244"/>
  <c r="O244" l="1"/>
  <c r="J244"/>
  <c r="M244"/>
  <c r="H244"/>
  <c r="C245"/>
  <c r="D245"/>
  <c r="E245"/>
  <c r="O245" l="1"/>
  <c r="J245"/>
  <c r="M245"/>
  <c r="H245"/>
  <c r="C246"/>
  <c r="D246"/>
  <c r="E246"/>
  <c r="O246" l="1"/>
  <c r="J246"/>
  <c r="M246"/>
  <c r="H246"/>
  <c r="C247"/>
  <c r="D247"/>
  <c r="E247"/>
  <c r="O247" l="1"/>
  <c r="J247"/>
  <c r="M247"/>
  <c r="H247"/>
  <c r="D248"/>
  <c r="C248"/>
  <c r="E248" s="1"/>
  <c r="O248" l="1"/>
  <c r="J248"/>
  <c r="M248"/>
  <c r="H248"/>
  <c r="C249"/>
  <c r="D249"/>
  <c r="E249"/>
  <c r="O249" l="1"/>
  <c r="J249"/>
  <c r="M249"/>
  <c r="H249"/>
  <c r="C250"/>
  <c r="D250"/>
  <c r="E250"/>
  <c r="O250" l="1"/>
  <c r="J250"/>
  <c r="M250"/>
  <c r="H250"/>
  <c r="D251"/>
  <c r="C251"/>
  <c r="E251" s="1"/>
  <c r="O251" l="1"/>
  <c r="J251"/>
  <c r="M251"/>
  <c r="H251"/>
  <c r="C252"/>
  <c r="D252"/>
  <c r="E252"/>
  <c r="O252" l="1"/>
  <c r="J252"/>
  <c r="M252"/>
  <c r="H252"/>
  <c r="C253"/>
  <c r="D253"/>
  <c r="E253"/>
  <c r="O253" l="1"/>
  <c r="J253"/>
  <c r="M253"/>
  <c r="H253"/>
  <c r="C254"/>
  <c r="E254"/>
  <c r="D254"/>
  <c r="O254" l="1"/>
  <c r="J254"/>
  <c r="M254"/>
  <c r="H254"/>
  <c r="C255"/>
  <c r="D255"/>
  <c r="E255"/>
  <c r="O255" l="1"/>
  <c r="J255"/>
  <c r="M255"/>
  <c r="H255"/>
  <c r="C256"/>
  <c r="D256"/>
  <c r="E256"/>
  <c r="O256" l="1"/>
  <c r="J256"/>
  <c r="M256"/>
  <c r="H256"/>
  <c r="D257"/>
  <c r="C257"/>
  <c r="E257" s="1"/>
  <c r="O257" l="1"/>
  <c r="J257"/>
  <c r="M257"/>
  <c r="H257"/>
  <c r="C258"/>
  <c r="D258"/>
  <c r="E258"/>
  <c r="O258" l="1"/>
  <c r="J258"/>
  <c r="M258"/>
  <c r="H258"/>
  <c r="C259"/>
  <c r="D259"/>
  <c r="E259"/>
  <c r="O259" l="1"/>
  <c r="J259"/>
  <c r="M259"/>
  <c r="H259"/>
  <c r="C260"/>
  <c r="D260"/>
  <c r="E260"/>
  <c r="O260" l="1"/>
  <c r="J260"/>
  <c r="M260"/>
  <c r="H260"/>
  <c r="C261"/>
  <c r="E261"/>
  <c r="D261"/>
  <c r="O261" l="1"/>
  <c r="J261"/>
  <c r="M261"/>
  <c r="H261"/>
  <c r="C262"/>
  <c r="D262"/>
  <c r="E262"/>
  <c r="O262" l="1"/>
  <c r="J262"/>
  <c r="M262"/>
  <c r="H262"/>
  <c r="C263"/>
  <c r="D263"/>
  <c r="E263"/>
  <c r="O263" l="1"/>
  <c r="J263"/>
  <c r="M263"/>
  <c r="H263"/>
  <c r="C264"/>
  <c r="E264"/>
  <c r="D264"/>
  <c r="O264" l="1"/>
  <c r="J264"/>
  <c r="M264"/>
  <c r="H264"/>
  <c r="C265"/>
  <c r="D265"/>
  <c r="E265"/>
  <c r="O265" l="1"/>
  <c r="J265"/>
  <c r="M265"/>
  <c r="H265"/>
  <c r="C266"/>
  <c r="D266"/>
  <c r="E266"/>
  <c r="O266" l="1"/>
  <c r="J266"/>
  <c r="M266"/>
  <c r="H266"/>
  <c r="C267"/>
  <c r="D267"/>
  <c r="E267"/>
  <c r="O267" l="1"/>
  <c r="J267"/>
  <c r="M267"/>
  <c r="H267"/>
  <c r="C268"/>
  <c r="D268"/>
  <c r="E268"/>
  <c r="O268" l="1"/>
  <c r="J268"/>
  <c r="M268"/>
  <c r="H268"/>
  <c r="C269"/>
  <c r="D269"/>
  <c r="E269"/>
  <c r="O269" l="1"/>
  <c r="J269"/>
  <c r="M269"/>
  <c r="H269"/>
  <c r="C270"/>
  <c r="D270"/>
  <c r="E270"/>
  <c r="O270" l="1"/>
  <c r="J270"/>
  <c r="M270"/>
  <c r="H270"/>
  <c r="C271"/>
  <c r="D271"/>
  <c r="E271"/>
  <c r="O271" l="1"/>
  <c r="J271"/>
  <c r="M271"/>
  <c r="H271"/>
  <c r="C272"/>
  <c r="D272"/>
  <c r="E272"/>
  <c r="O272" l="1"/>
  <c r="J272"/>
  <c r="M272"/>
  <c r="H272"/>
  <c r="C273"/>
  <c r="D273"/>
  <c r="E273"/>
  <c r="O273" l="1"/>
  <c r="J273"/>
  <c r="M273"/>
  <c r="H273"/>
  <c r="C274"/>
  <c r="E274"/>
  <c r="D274"/>
  <c r="O274" l="1"/>
  <c r="J274"/>
  <c r="M274"/>
  <c r="H274"/>
  <c r="C275"/>
  <c r="D275"/>
  <c r="E275"/>
  <c r="O275" l="1"/>
  <c r="J275"/>
  <c r="M275"/>
  <c r="H275"/>
  <c r="C276"/>
  <c r="D276"/>
  <c r="E276"/>
  <c r="O276" l="1"/>
  <c r="J276"/>
  <c r="M276"/>
  <c r="H276"/>
  <c r="C277"/>
  <c r="E277"/>
  <c r="D277"/>
  <c r="O277" l="1"/>
  <c r="J277"/>
  <c r="M277"/>
  <c r="H277"/>
  <c r="C278"/>
  <c r="D278"/>
  <c r="E278"/>
  <c r="O278" l="1"/>
  <c r="J278"/>
  <c r="M278"/>
  <c r="H278"/>
  <c r="C279"/>
  <c r="E279"/>
  <c r="D279"/>
  <c r="O279" l="1"/>
  <c r="J279"/>
  <c r="M279"/>
  <c r="H279"/>
  <c r="C280"/>
  <c r="E280"/>
  <c r="D280"/>
  <c r="O280" l="1"/>
  <c r="J280"/>
  <c r="M280"/>
  <c r="H280"/>
  <c r="C281"/>
  <c r="E281"/>
  <c r="D281"/>
  <c r="O281" l="1"/>
  <c r="J281"/>
  <c r="M281"/>
  <c r="H281"/>
  <c r="C282"/>
  <c r="E282"/>
  <c r="D282"/>
  <c r="O282" l="1"/>
  <c r="J282"/>
  <c r="M282"/>
  <c r="H282"/>
  <c r="C283"/>
  <c r="D283"/>
  <c r="E283"/>
  <c r="O283" l="1"/>
  <c r="J283"/>
  <c r="M283"/>
  <c r="H283"/>
  <c r="C284"/>
  <c r="D284"/>
  <c r="E284"/>
  <c r="O284" l="1"/>
  <c r="J284"/>
  <c r="M284"/>
  <c r="H284"/>
  <c r="C285"/>
  <c r="D285"/>
  <c r="E285"/>
  <c r="O285" l="1"/>
  <c r="J285"/>
  <c r="M285"/>
  <c r="H285"/>
  <c r="C286"/>
  <c r="D286"/>
  <c r="E286"/>
  <c r="O286" l="1"/>
  <c r="J286"/>
  <c r="M286"/>
  <c r="H286"/>
  <c r="C287"/>
  <c r="D287"/>
  <c r="E287"/>
  <c r="O287" l="1"/>
  <c r="J287"/>
  <c r="M287"/>
  <c r="H287"/>
  <c r="C288"/>
  <c r="D288"/>
  <c r="E288"/>
  <c r="O288" l="1"/>
  <c r="J288"/>
  <c r="M288"/>
  <c r="H288"/>
  <c r="C289"/>
  <c r="D289"/>
  <c r="E289"/>
  <c r="O289" l="1"/>
  <c r="J289"/>
  <c r="M289"/>
  <c r="H289"/>
  <c r="C290"/>
  <c r="E290"/>
  <c r="D290"/>
  <c r="O290" l="1"/>
  <c r="J290"/>
  <c r="M290"/>
  <c r="H290"/>
  <c r="C291"/>
  <c r="E291"/>
  <c r="D291"/>
  <c r="O291" l="1"/>
  <c r="J291"/>
  <c r="M291"/>
  <c r="H291"/>
  <c r="C292"/>
  <c r="E292"/>
  <c r="D292"/>
  <c r="O292" l="1"/>
  <c r="J292"/>
  <c r="M292"/>
  <c r="H292"/>
  <c r="C293"/>
  <c r="E293"/>
  <c r="D293"/>
  <c r="O293" l="1"/>
  <c r="J293"/>
  <c r="M293"/>
  <c r="H293"/>
  <c r="C294"/>
  <c r="E294"/>
  <c r="D294"/>
  <c r="O294" l="1"/>
  <c r="J294"/>
  <c r="M294"/>
  <c r="H294"/>
  <c r="C295"/>
  <c r="E295"/>
  <c r="D295"/>
  <c r="O295" l="1"/>
  <c r="J295"/>
  <c r="M295"/>
  <c r="H295"/>
  <c r="C296"/>
  <c r="D296"/>
  <c r="E296"/>
  <c r="O296" l="1"/>
  <c r="J296"/>
  <c r="M296"/>
  <c r="H296"/>
  <c r="C297"/>
  <c r="D297"/>
  <c r="E297"/>
  <c r="O297" l="1"/>
  <c r="J297"/>
  <c r="M297"/>
  <c r="H297"/>
  <c r="C298"/>
  <c r="D298"/>
  <c r="E298"/>
  <c r="O298" l="1"/>
  <c r="J298"/>
  <c r="M298"/>
  <c r="H298"/>
  <c r="C299"/>
  <c r="E299"/>
  <c r="D299"/>
  <c r="O299" l="1"/>
  <c r="J299"/>
  <c r="M299"/>
  <c r="H299"/>
  <c r="C300"/>
  <c r="E300"/>
  <c r="D300"/>
  <c r="O300" l="1"/>
  <c r="J300"/>
  <c r="M300"/>
  <c r="H300"/>
  <c r="C301"/>
  <c r="E301"/>
  <c r="D301"/>
  <c r="O301" l="1"/>
  <c r="J301"/>
  <c r="M301"/>
  <c r="H301"/>
  <c r="C302"/>
  <c r="D302"/>
  <c r="E302"/>
  <c r="O302" l="1"/>
  <c r="J302"/>
  <c r="M302"/>
  <c r="H302"/>
  <c r="C303"/>
  <c r="E303"/>
  <c r="D303"/>
  <c r="O303" l="1"/>
  <c r="J303"/>
  <c r="M303"/>
  <c r="H303"/>
  <c r="C304"/>
  <c r="E304"/>
  <c r="D304"/>
  <c r="O304" l="1"/>
  <c r="J304"/>
  <c r="M304"/>
  <c r="H304"/>
  <c r="C305"/>
  <c r="D305"/>
  <c r="E305"/>
  <c r="O305" l="1"/>
  <c r="J305"/>
  <c r="M305"/>
  <c r="H305"/>
  <c r="C306"/>
  <c r="E306"/>
  <c r="D306"/>
  <c r="O306" l="1"/>
  <c r="J306"/>
  <c r="M306"/>
  <c r="H306"/>
  <c r="C307"/>
  <c r="E307"/>
  <c r="D307"/>
  <c r="O307" l="1"/>
  <c r="J307"/>
  <c r="M307"/>
  <c r="H307"/>
  <c r="C308"/>
  <c r="E308"/>
  <c r="D308"/>
  <c r="O308" l="1"/>
  <c r="J308"/>
  <c r="M308"/>
  <c r="H308"/>
  <c r="C309"/>
  <c r="D309"/>
  <c r="E309"/>
  <c r="O309" l="1"/>
  <c r="J309"/>
  <c r="M309"/>
  <c r="H309"/>
  <c r="C310"/>
  <c r="E310"/>
  <c r="D310"/>
  <c r="O310" l="1"/>
  <c r="J310"/>
  <c r="M310"/>
  <c r="H310"/>
  <c r="C311"/>
  <c r="D311"/>
  <c r="E311"/>
  <c r="O311" l="1"/>
  <c r="J311"/>
  <c r="M311"/>
  <c r="H311"/>
  <c r="C312"/>
  <c r="D312"/>
  <c r="E312"/>
  <c r="O312" l="1"/>
  <c r="J312"/>
  <c r="M312"/>
  <c r="H312"/>
  <c r="C313"/>
  <c r="E313"/>
  <c r="D313"/>
  <c r="O313" l="1"/>
  <c r="J313"/>
  <c r="M313"/>
  <c r="H313"/>
  <c r="C314"/>
  <c r="D314"/>
  <c r="E314"/>
  <c r="O314" l="1"/>
  <c r="J314"/>
  <c r="M314"/>
  <c r="H314"/>
  <c r="C315"/>
  <c r="D315"/>
  <c r="E315"/>
  <c r="O315" l="1"/>
  <c r="J315"/>
  <c r="M315"/>
  <c r="H315"/>
  <c r="C316"/>
  <c r="D316"/>
  <c r="E316"/>
  <c r="O316" l="1"/>
  <c r="J316"/>
  <c r="M316"/>
  <c r="H316"/>
  <c r="D317"/>
  <c r="C317"/>
  <c r="E317" s="1"/>
  <c r="O317" l="1"/>
  <c r="J317"/>
  <c r="M317"/>
  <c r="H317"/>
  <c r="C318"/>
  <c r="D318"/>
  <c r="E318"/>
  <c r="O318" l="1"/>
  <c r="J318"/>
  <c r="M318"/>
  <c r="H318"/>
  <c r="C319"/>
  <c r="D319"/>
  <c r="E319"/>
  <c r="O319" l="1"/>
  <c r="J319"/>
  <c r="M319"/>
  <c r="H319"/>
  <c r="C320"/>
  <c r="D320"/>
  <c r="E320"/>
  <c r="O320" l="1"/>
  <c r="J320"/>
  <c r="M320"/>
  <c r="H320"/>
  <c r="C321"/>
  <c r="D321"/>
  <c r="E321"/>
  <c r="O321" l="1"/>
  <c r="J321"/>
  <c r="M321"/>
  <c r="H321"/>
  <c r="C322"/>
  <c r="E322"/>
  <c r="D322"/>
  <c r="O322" l="1"/>
  <c r="J322"/>
  <c r="M322"/>
  <c r="H322"/>
  <c r="C323"/>
  <c r="D323"/>
  <c r="E323"/>
  <c r="O323" l="1"/>
  <c r="J323"/>
  <c r="M323"/>
  <c r="H323"/>
  <c r="C324"/>
  <c r="D324"/>
  <c r="E324"/>
  <c r="O324" l="1"/>
  <c r="J324"/>
  <c r="M324"/>
  <c r="H324"/>
  <c r="C325"/>
  <c r="D325"/>
  <c r="E325"/>
  <c r="O325" l="1"/>
  <c r="J325"/>
  <c r="M325"/>
  <c r="H325"/>
  <c r="C326"/>
  <c r="E326"/>
  <c r="D326"/>
  <c r="O326" l="1"/>
  <c r="J326"/>
  <c r="M326"/>
  <c r="H326"/>
  <c r="C327"/>
  <c r="D327"/>
  <c r="E327"/>
  <c r="O327" l="1"/>
  <c r="J327"/>
  <c r="M327"/>
  <c r="H327"/>
  <c r="C328"/>
  <c r="D328"/>
  <c r="E328"/>
  <c r="O328" l="1"/>
  <c r="J328"/>
  <c r="M328"/>
  <c r="H328"/>
  <c r="C329"/>
  <c r="D329"/>
  <c r="E329"/>
  <c r="O329" l="1"/>
  <c r="J329"/>
  <c r="M329"/>
  <c r="H329"/>
  <c r="C330"/>
  <c r="E330"/>
  <c r="D330"/>
  <c r="O330" l="1"/>
  <c r="J330"/>
  <c r="M330"/>
  <c r="H330"/>
  <c r="C331"/>
  <c r="D331"/>
  <c r="E331"/>
  <c r="O331" l="1"/>
  <c r="J331"/>
  <c r="M331"/>
  <c r="H331"/>
  <c r="C332"/>
  <c r="D332"/>
  <c r="E332"/>
  <c r="O332" l="1"/>
  <c r="J332"/>
  <c r="M332"/>
  <c r="H332"/>
  <c r="C333"/>
  <c r="D333"/>
  <c r="E333"/>
  <c r="O333" l="1"/>
  <c r="J333"/>
  <c r="M333"/>
  <c r="H333"/>
  <c r="C334"/>
  <c r="D334"/>
  <c r="E334"/>
  <c r="O334" l="1"/>
  <c r="J334"/>
  <c r="M334"/>
  <c r="H334"/>
  <c r="C335"/>
  <c r="E335"/>
  <c r="D335"/>
  <c r="O335" l="1"/>
  <c r="J335"/>
  <c r="M335"/>
  <c r="H335"/>
  <c r="C336"/>
  <c r="E336"/>
  <c r="D336"/>
  <c r="O336" l="1"/>
  <c r="J336"/>
  <c r="M336"/>
  <c r="H336"/>
  <c r="C337"/>
  <c r="D337"/>
  <c r="E337"/>
  <c r="O337" l="1"/>
  <c r="J337"/>
  <c r="M337"/>
  <c r="H337"/>
  <c r="D338"/>
  <c r="C338"/>
  <c r="E338" s="1"/>
  <c r="O338" l="1"/>
  <c r="J338"/>
  <c r="M338"/>
  <c r="H338"/>
  <c r="C339"/>
  <c r="E339" s="1"/>
  <c r="D339"/>
  <c r="O339" l="1"/>
  <c r="J339"/>
  <c r="M339"/>
  <c r="H339"/>
  <c r="C340"/>
  <c r="E340"/>
  <c r="D340"/>
  <c r="O340" l="1"/>
  <c r="J340"/>
  <c r="M340"/>
  <c r="H340"/>
  <c r="C341"/>
  <c r="E341" s="1"/>
  <c r="D341"/>
  <c r="O341" l="1"/>
  <c r="J341"/>
  <c r="M341"/>
  <c r="H341"/>
  <c r="C342"/>
  <c r="E342" s="1"/>
  <c r="D342"/>
  <c r="O342" l="1"/>
  <c r="J342"/>
  <c r="M342"/>
  <c r="H342"/>
  <c r="C343"/>
  <c r="E343"/>
  <c r="D343"/>
  <c r="O343" l="1"/>
  <c r="J343"/>
  <c r="M343"/>
  <c r="H343"/>
  <c r="C344"/>
  <c r="E344" s="1"/>
  <c r="D344"/>
  <c r="O344" l="1"/>
  <c r="J344"/>
  <c r="M344"/>
  <c r="H344"/>
  <c r="C345"/>
  <c r="D345"/>
  <c r="E345"/>
  <c r="O345" l="1"/>
  <c r="J345"/>
  <c r="M345"/>
  <c r="H345"/>
  <c r="C346"/>
  <c r="D346"/>
  <c r="E346"/>
  <c r="O346" l="1"/>
  <c r="J346"/>
  <c r="M346"/>
  <c r="H346"/>
  <c r="C347"/>
  <c r="D347"/>
  <c r="E347"/>
  <c r="O347" l="1"/>
  <c r="J347"/>
  <c r="M347"/>
  <c r="H347"/>
  <c r="C348"/>
  <c r="D348"/>
  <c r="E348"/>
  <c r="O348" l="1"/>
  <c r="J348"/>
  <c r="M348"/>
  <c r="H348"/>
  <c r="C349"/>
  <c r="D349"/>
  <c r="E349"/>
  <c r="O349" l="1"/>
  <c r="J349"/>
  <c r="M349"/>
  <c r="H349"/>
  <c r="C350"/>
  <c r="D350"/>
  <c r="E350"/>
  <c r="O350" l="1"/>
  <c r="J350"/>
  <c r="M350"/>
  <c r="H350"/>
  <c r="C351"/>
  <c r="D351"/>
  <c r="E351"/>
  <c r="O351" l="1"/>
  <c r="J351"/>
  <c r="M351"/>
  <c r="H351"/>
  <c r="C352"/>
  <c r="D352"/>
  <c r="E352"/>
  <c r="O352" l="1"/>
  <c r="J352"/>
  <c r="M352"/>
  <c r="H352"/>
  <c r="C353"/>
  <c r="D353"/>
  <c r="E353"/>
  <c r="O353" l="1"/>
  <c r="J353"/>
  <c r="M353"/>
  <c r="H353"/>
  <c r="C354"/>
  <c r="D354"/>
  <c r="E354"/>
  <c r="O354" l="1"/>
  <c r="J354"/>
  <c r="M354"/>
  <c r="H354"/>
  <c r="C355"/>
  <c r="D355"/>
  <c r="E355"/>
  <c r="O355" l="1"/>
  <c r="J355"/>
  <c r="M355"/>
  <c r="H355"/>
  <c r="C356"/>
  <c r="E356"/>
  <c r="D356"/>
  <c r="O356" l="1"/>
  <c r="J356"/>
  <c r="M356"/>
  <c r="H356"/>
  <c r="C357"/>
  <c r="D357"/>
  <c r="E357"/>
  <c r="O357" l="1"/>
  <c r="J357"/>
  <c r="M357"/>
  <c r="H357"/>
  <c r="C358"/>
  <c r="D358"/>
  <c r="E358"/>
  <c r="O358" l="1"/>
  <c r="J358"/>
  <c r="M358"/>
  <c r="H358"/>
  <c r="C359"/>
  <c r="D359"/>
  <c r="E359"/>
  <c r="O359" l="1"/>
  <c r="J359"/>
  <c r="M359"/>
  <c r="H359"/>
  <c r="C360"/>
  <c r="D360"/>
  <c r="E360"/>
  <c r="O360" l="1"/>
  <c r="J360"/>
  <c r="M360"/>
  <c r="H360"/>
  <c r="C361"/>
  <c r="D361"/>
  <c r="E361"/>
  <c r="O361" l="1"/>
  <c r="J361"/>
  <c r="M361"/>
  <c r="H361"/>
  <c r="C362"/>
  <c r="D362"/>
  <c r="E362"/>
  <c r="O362" l="1"/>
  <c r="J362"/>
  <c r="M362"/>
  <c r="H362"/>
  <c r="C363"/>
  <c r="D363"/>
  <c r="E363"/>
  <c r="O363" l="1"/>
  <c r="J363"/>
  <c r="M363"/>
  <c r="H363"/>
  <c r="C364"/>
  <c r="D364"/>
  <c r="E364"/>
  <c r="O364" l="1"/>
  <c r="J364"/>
  <c r="M364"/>
  <c r="H364"/>
  <c r="C365"/>
  <c r="D365"/>
  <c r="E365"/>
  <c r="O365" l="1"/>
  <c r="J365"/>
  <c r="M365"/>
  <c r="H365"/>
  <c r="C366"/>
  <c r="D366"/>
  <c r="E366"/>
  <c r="O366" l="1"/>
  <c r="J366"/>
  <c r="M366"/>
  <c r="H366"/>
  <c r="C367"/>
  <c r="D367"/>
  <c r="E367"/>
  <c r="O367" l="1"/>
  <c r="J367"/>
  <c r="M367"/>
  <c r="H367"/>
  <c r="C368"/>
  <c r="D368"/>
  <c r="E368"/>
  <c r="O368" l="1"/>
  <c r="J368"/>
  <c r="M368"/>
  <c r="H368"/>
  <c r="C369"/>
  <c r="D369"/>
  <c r="E369"/>
  <c r="O369" l="1"/>
  <c r="J369"/>
  <c r="M369"/>
  <c r="H369"/>
  <c r="C370"/>
  <c r="D370"/>
  <c r="E370"/>
  <c r="O370" l="1"/>
  <c r="J370"/>
  <c r="M370"/>
  <c r="H370"/>
  <c r="C371"/>
  <c r="D371"/>
  <c r="E371"/>
  <c r="O371" l="1"/>
  <c r="J371"/>
  <c r="M371"/>
  <c r="H371"/>
  <c r="C372"/>
  <c r="D372"/>
  <c r="E372"/>
  <c r="O372" l="1"/>
  <c r="J372"/>
  <c r="M372"/>
  <c r="H372"/>
  <c r="C373"/>
  <c r="D373"/>
  <c r="E373"/>
  <c r="O373" l="1"/>
  <c r="J373"/>
  <c r="M373"/>
  <c r="H373"/>
  <c r="C374"/>
  <c r="D374"/>
  <c r="E374"/>
  <c r="O374" l="1"/>
  <c r="J374"/>
  <c r="M374"/>
  <c r="H374"/>
  <c r="C375"/>
  <c r="D375"/>
  <c r="E375"/>
  <c r="O375" l="1"/>
  <c r="J375"/>
  <c r="M375"/>
  <c r="H375"/>
  <c r="C376"/>
  <c r="D376"/>
  <c r="E376"/>
  <c r="O376" l="1"/>
  <c r="J376"/>
  <c r="M376"/>
  <c r="H376"/>
  <c r="C377"/>
  <c r="D377"/>
  <c r="E377"/>
  <c r="O377" l="1"/>
  <c r="J377"/>
  <c r="M377"/>
  <c r="H377"/>
  <c r="C378"/>
  <c r="D378"/>
  <c r="E378"/>
  <c r="O378" l="1"/>
  <c r="J378"/>
  <c r="M378"/>
  <c r="H378"/>
  <c r="C379"/>
  <c r="D379"/>
  <c r="E379"/>
  <c r="O379" l="1"/>
  <c r="J379"/>
  <c r="M379"/>
  <c r="H379"/>
  <c r="C380"/>
  <c r="D380"/>
  <c r="E380"/>
  <c r="O380" l="1"/>
  <c r="J380"/>
  <c r="M380"/>
  <c r="H380"/>
  <c r="C381"/>
  <c r="D381"/>
  <c r="E381"/>
  <c r="O381" l="1"/>
  <c r="J381"/>
  <c r="M381"/>
  <c r="H381"/>
  <c r="C382"/>
  <c r="D382"/>
  <c r="E382"/>
  <c r="O382" l="1"/>
  <c r="J382"/>
  <c r="M382"/>
  <c r="H382"/>
  <c r="C383"/>
  <c r="D383"/>
  <c r="E383"/>
  <c r="O383" l="1"/>
  <c r="J383"/>
  <c r="M383"/>
  <c r="H383"/>
  <c r="C384"/>
  <c r="D384"/>
  <c r="E384"/>
  <c r="O384" l="1"/>
  <c r="J384"/>
  <c r="M384"/>
  <c r="H384"/>
  <c r="C385"/>
  <c r="D385"/>
  <c r="E385"/>
  <c r="O385" l="1"/>
  <c r="J385"/>
  <c r="M385"/>
  <c r="H385"/>
  <c r="C386"/>
  <c r="D386"/>
  <c r="E386"/>
  <c r="O386" l="1"/>
  <c r="J386"/>
  <c r="M386"/>
  <c r="H386"/>
  <c r="C387"/>
  <c r="D387"/>
  <c r="E387"/>
  <c r="O387" l="1"/>
  <c r="J387"/>
  <c r="M387"/>
  <c r="H387"/>
  <c r="C388"/>
  <c r="D388"/>
  <c r="E388"/>
  <c r="O388" l="1"/>
  <c r="J388"/>
  <c r="M388"/>
  <c r="H388"/>
  <c r="C389"/>
  <c r="D389"/>
  <c r="E389"/>
  <c r="O389" l="1"/>
  <c r="J389"/>
  <c r="M389"/>
  <c r="H389"/>
  <c r="C390"/>
  <c r="D390"/>
  <c r="E390"/>
  <c r="O390" l="1"/>
  <c r="J390"/>
  <c r="M390"/>
  <c r="H390"/>
  <c r="C391"/>
  <c r="E391"/>
  <c r="D391"/>
  <c r="O391" l="1"/>
  <c r="J391"/>
  <c r="M391"/>
  <c r="H391"/>
  <c r="C392"/>
  <c r="D392"/>
  <c r="E392"/>
  <c r="O392" l="1"/>
  <c r="J392"/>
  <c r="M392"/>
  <c r="H392"/>
  <c r="C393"/>
  <c r="D393"/>
  <c r="E393"/>
  <c r="O393" l="1"/>
  <c r="J393"/>
  <c r="M393"/>
  <c r="H393"/>
  <c r="C394"/>
  <c r="E394"/>
  <c r="D394"/>
  <c r="O394" l="1"/>
  <c r="J394"/>
  <c r="M394"/>
  <c r="H394"/>
  <c r="C395"/>
  <c r="D395"/>
  <c r="E395"/>
  <c r="O395" l="1"/>
  <c r="J395"/>
  <c r="M395"/>
  <c r="H395"/>
  <c r="C396"/>
  <c r="D396"/>
  <c r="E396"/>
  <c r="O396" l="1"/>
  <c r="J396"/>
  <c r="M396"/>
  <c r="H396"/>
  <c r="C397"/>
  <c r="E397"/>
  <c r="D397"/>
  <c r="O397" l="1"/>
  <c r="J397"/>
  <c r="M397"/>
  <c r="H397"/>
  <c r="C398"/>
  <c r="D398"/>
  <c r="E398"/>
  <c r="O398" l="1"/>
  <c r="J398"/>
  <c r="M398"/>
  <c r="H398"/>
  <c r="C399"/>
  <c r="D399"/>
  <c r="E399"/>
  <c r="O399" l="1"/>
  <c r="J399"/>
  <c r="M399"/>
  <c r="H399"/>
  <c r="C400"/>
  <c r="D400"/>
  <c r="E400"/>
  <c r="O400" l="1"/>
  <c r="J400"/>
  <c r="M400"/>
  <c r="H400"/>
  <c r="C401"/>
  <c r="D401"/>
  <c r="E401"/>
  <c r="O401" l="1"/>
  <c r="J401"/>
  <c r="M401"/>
  <c r="H401"/>
  <c r="C402"/>
  <c r="D402"/>
  <c r="E402"/>
  <c r="O402" l="1"/>
  <c r="J402"/>
  <c r="M402"/>
  <c r="H402"/>
  <c r="C403"/>
  <c r="D403"/>
  <c r="E403"/>
  <c r="O403" l="1"/>
  <c r="J403"/>
  <c r="M403"/>
  <c r="H403"/>
  <c r="C404"/>
  <c r="D404"/>
  <c r="E404"/>
  <c r="O404" l="1"/>
  <c r="J404"/>
  <c r="M404"/>
  <c r="H404"/>
  <c r="C405"/>
  <c r="E405"/>
  <c r="D405"/>
  <c r="O405" l="1"/>
  <c r="J405"/>
  <c r="M405"/>
  <c r="H405"/>
  <c r="C406"/>
  <c r="E406"/>
  <c r="D406"/>
  <c r="O406" l="1"/>
  <c r="J406"/>
  <c r="M406"/>
  <c r="H406"/>
  <c r="C407"/>
  <c r="E407"/>
  <c r="D407"/>
  <c r="O407" l="1"/>
  <c r="J407"/>
  <c r="M407"/>
  <c r="H407"/>
  <c r="C408"/>
  <c r="D408"/>
  <c r="E408"/>
  <c r="O408" l="1"/>
  <c r="J408"/>
  <c r="M408"/>
  <c r="H408"/>
  <c r="C409"/>
  <c r="D409"/>
  <c r="E409"/>
  <c r="O409" l="1"/>
  <c r="J409"/>
  <c r="M409"/>
  <c r="H409"/>
  <c r="C410"/>
  <c r="D410"/>
  <c r="E410"/>
  <c r="O410" l="1"/>
  <c r="J410"/>
  <c r="M410"/>
  <c r="H410"/>
  <c r="C411"/>
  <c r="E411"/>
  <c r="D411"/>
  <c r="O411" l="1"/>
  <c r="J411"/>
  <c r="M411"/>
  <c r="H411"/>
  <c r="C412"/>
  <c r="E412"/>
  <c r="D412"/>
  <c r="O412" l="1"/>
  <c r="J412"/>
  <c r="M412"/>
  <c r="H412"/>
  <c r="C413"/>
  <c r="E413"/>
  <c r="D413"/>
  <c r="O413" l="1"/>
  <c r="J413"/>
  <c r="M413"/>
  <c r="H413"/>
  <c r="C414"/>
  <c r="E414"/>
  <c r="D414"/>
  <c r="O414" l="1"/>
  <c r="J414"/>
  <c r="M414"/>
  <c r="H414"/>
  <c r="C415"/>
  <c r="E415"/>
  <c r="D415"/>
  <c r="O415" l="1"/>
  <c r="J415"/>
  <c r="M415"/>
  <c r="H415"/>
  <c r="C416"/>
  <c r="E416"/>
  <c r="D416"/>
  <c r="O416" l="1"/>
  <c r="J416"/>
  <c r="M416"/>
  <c r="H416"/>
  <c r="C417"/>
  <c r="E417"/>
  <c r="D417"/>
  <c r="O417" l="1"/>
  <c r="J417"/>
  <c r="M417"/>
  <c r="H417"/>
  <c r="C418"/>
  <c r="E418"/>
  <c r="D418"/>
  <c r="O418" l="1"/>
  <c r="J418"/>
  <c r="M418"/>
  <c r="H418"/>
  <c r="C419"/>
  <c r="E419"/>
  <c r="D419"/>
  <c r="O419" l="1"/>
  <c r="J419"/>
  <c r="M419"/>
  <c r="H419"/>
  <c r="C420"/>
  <c r="E420"/>
  <c r="D420"/>
  <c r="O420" l="1"/>
  <c r="J420"/>
  <c r="M420"/>
  <c r="H420"/>
  <c r="C421"/>
  <c r="D421"/>
  <c r="E421"/>
  <c r="O421" l="1"/>
  <c r="J421"/>
  <c r="M421"/>
  <c r="H421"/>
  <c r="C422"/>
  <c r="D422"/>
  <c r="E422"/>
  <c r="O422" l="1"/>
  <c r="J422"/>
  <c r="M422"/>
  <c r="H422"/>
  <c r="D423"/>
  <c r="C423"/>
  <c r="E423" s="1"/>
  <c r="O423" l="1"/>
  <c r="J423"/>
  <c r="M423"/>
  <c r="H423"/>
  <c r="C424"/>
  <c r="D424"/>
  <c r="E424"/>
  <c r="O424" l="1"/>
  <c r="J424"/>
  <c r="M424"/>
  <c r="H424"/>
  <c r="C425"/>
  <c r="E425"/>
  <c r="D425"/>
  <c r="O425" l="1"/>
  <c r="J425"/>
  <c r="M425"/>
  <c r="H425"/>
  <c r="C426"/>
  <c r="D426"/>
  <c r="E426"/>
  <c r="O426" l="1"/>
  <c r="J426"/>
  <c r="M426"/>
  <c r="H426"/>
  <c r="C427"/>
  <c r="D427"/>
  <c r="E427"/>
  <c r="O427" l="1"/>
  <c r="J427"/>
  <c r="M427"/>
  <c r="H427"/>
  <c r="C428"/>
  <c r="D428"/>
  <c r="E428"/>
  <c r="O428" l="1"/>
  <c r="J428"/>
  <c r="M428"/>
  <c r="H428"/>
  <c r="C429"/>
  <c r="E429"/>
  <c r="D429"/>
  <c r="O429" l="1"/>
  <c r="J429"/>
  <c r="M429"/>
  <c r="H429"/>
  <c r="C430"/>
  <c r="E430"/>
  <c r="D430"/>
  <c r="O430" l="1"/>
  <c r="J430"/>
  <c r="M430"/>
  <c r="H430"/>
  <c r="C431"/>
  <c r="E431"/>
  <c r="D431"/>
  <c r="O431" l="1"/>
  <c r="J431"/>
  <c r="M431"/>
  <c r="H431"/>
  <c r="C432"/>
  <c r="E432"/>
  <c r="D432"/>
  <c r="O432" l="1"/>
  <c r="J432"/>
  <c r="M432"/>
  <c r="H432"/>
  <c r="C433"/>
  <c r="E433"/>
  <c r="D433"/>
  <c r="O433" l="1"/>
  <c r="J433"/>
  <c r="M433"/>
  <c r="H433"/>
  <c r="C434"/>
  <c r="E434"/>
  <c r="D434"/>
  <c r="O434" l="1"/>
  <c r="J434"/>
  <c r="M434"/>
  <c r="H434"/>
  <c r="C435"/>
  <c r="D435"/>
  <c r="E435"/>
  <c r="O435" l="1"/>
  <c r="J435"/>
  <c r="M435"/>
  <c r="H435"/>
  <c r="C436"/>
  <c r="E436"/>
  <c r="D436"/>
  <c r="O436" l="1"/>
  <c r="J436"/>
  <c r="M436"/>
  <c r="H436"/>
  <c r="C437"/>
  <c r="E437"/>
  <c r="D437"/>
  <c r="O437" l="1"/>
  <c r="J437"/>
  <c r="M437"/>
  <c r="H437"/>
  <c r="C438"/>
  <c r="E438"/>
  <c r="D438"/>
  <c r="O438" l="1"/>
  <c r="J438"/>
  <c r="M438"/>
  <c r="H438"/>
  <c r="C439"/>
  <c r="E439"/>
  <c r="D439"/>
  <c r="O439" l="1"/>
  <c r="J439"/>
  <c r="M439"/>
  <c r="H439"/>
  <c r="C440"/>
  <c r="E440"/>
  <c r="D440"/>
  <c r="O440" l="1"/>
  <c r="J440"/>
  <c r="M440"/>
  <c r="H440"/>
  <c r="C441"/>
  <c r="D441"/>
  <c r="E441"/>
  <c r="O441" l="1"/>
  <c r="J441"/>
  <c r="M441"/>
  <c r="H441"/>
  <c r="C442"/>
  <c r="D442"/>
  <c r="E442"/>
  <c r="O442" l="1"/>
  <c r="J442"/>
  <c r="M442"/>
  <c r="H442"/>
  <c r="C443"/>
  <c r="E443"/>
  <c r="D443"/>
  <c r="O443" l="1"/>
  <c r="J443"/>
  <c r="M443"/>
  <c r="H443"/>
  <c r="C444"/>
  <c r="D444"/>
  <c r="E444"/>
  <c r="O444" l="1"/>
  <c r="J444"/>
  <c r="M444"/>
  <c r="H444"/>
  <c r="C445"/>
  <c r="D445"/>
  <c r="E445"/>
  <c r="O445" l="1"/>
  <c r="J445"/>
  <c r="M445"/>
  <c r="H445"/>
  <c r="C446"/>
  <c r="D446"/>
  <c r="E446"/>
  <c r="O446" l="1"/>
  <c r="J446"/>
  <c r="M446"/>
  <c r="H446"/>
  <c r="C447"/>
  <c r="D447"/>
  <c r="E447"/>
  <c r="O447" l="1"/>
  <c r="J447"/>
  <c r="M447"/>
  <c r="H447"/>
  <c r="C448"/>
  <c r="D448"/>
  <c r="E448"/>
  <c r="O448" l="1"/>
  <c r="J448"/>
  <c r="M448"/>
  <c r="H448"/>
  <c r="C449"/>
  <c r="D449"/>
  <c r="E449"/>
  <c r="O449" l="1"/>
  <c r="J449"/>
  <c r="M449"/>
  <c r="H449"/>
  <c r="C450"/>
  <c r="D450"/>
  <c r="E450"/>
  <c r="O450" l="1"/>
  <c r="J450"/>
  <c r="M450"/>
  <c r="H450"/>
  <c r="C451"/>
  <c r="D451"/>
  <c r="E451"/>
  <c r="O451" l="1"/>
  <c r="J451"/>
  <c r="M451"/>
  <c r="H451"/>
  <c r="C452"/>
  <c r="D452"/>
  <c r="E452"/>
  <c r="O452" l="1"/>
  <c r="J452"/>
  <c r="M452"/>
  <c r="H452"/>
  <c r="C453"/>
  <c r="D453"/>
  <c r="E453"/>
  <c r="O453" l="1"/>
  <c r="J453"/>
  <c r="M453"/>
  <c r="H453"/>
  <c r="C454"/>
  <c r="E454"/>
  <c r="D454"/>
  <c r="O454" l="1"/>
  <c r="J454"/>
  <c r="M454"/>
  <c r="H454"/>
  <c r="C455"/>
  <c r="E455" s="1"/>
  <c r="D455"/>
  <c r="O455" l="1"/>
  <c r="J455"/>
  <c r="M455"/>
  <c r="H455"/>
  <c r="C456"/>
  <c r="D456"/>
  <c r="E456"/>
  <c r="O456" l="1"/>
  <c r="J456"/>
  <c r="M456"/>
  <c r="H456"/>
  <c r="C457"/>
  <c r="E457"/>
  <c r="D457"/>
  <c r="O457" l="1"/>
  <c r="J457"/>
  <c r="M457"/>
  <c r="H457"/>
  <c r="C458"/>
  <c r="D458"/>
  <c r="E458"/>
  <c r="O458" l="1"/>
  <c r="J458"/>
  <c r="M458"/>
  <c r="H458"/>
  <c r="C459"/>
  <c r="D459"/>
  <c r="E459"/>
  <c r="O459" l="1"/>
  <c r="J459"/>
  <c r="M459"/>
  <c r="H459"/>
  <c r="C460"/>
  <c r="D460"/>
  <c r="E460"/>
  <c r="O460" l="1"/>
  <c r="J460"/>
  <c r="M460"/>
  <c r="H460"/>
  <c r="C461"/>
  <c r="D461"/>
  <c r="E461"/>
  <c r="O461" l="1"/>
  <c r="J461"/>
  <c r="M461"/>
  <c r="H461"/>
  <c r="C462"/>
  <c r="D462"/>
  <c r="E462"/>
  <c r="O462" l="1"/>
  <c r="J462"/>
  <c r="M462"/>
  <c r="H462"/>
  <c r="C463"/>
  <c r="E463"/>
  <c r="D463"/>
  <c r="O463" l="1"/>
  <c r="J463"/>
  <c r="M463"/>
  <c r="H463"/>
  <c r="C464"/>
  <c r="E464"/>
  <c r="D464"/>
  <c r="O464" l="1"/>
  <c r="J464"/>
  <c r="M464"/>
  <c r="H464"/>
  <c r="C465"/>
  <c r="E465"/>
  <c r="D465"/>
  <c r="O465" l="1"/>
  <c r="J465"/>
  <c r="M465"/>
  <c r="H465"/>
  <c r="C466"/>
  <c r="D466"/>
  <c r="E466"/>
  <c r="O466" l="1"/>
  <c r="J466"/>
  <c r="M466"/>
  <c r="H466"/>
  <c r="C467"/>
  <c r="D467"/>
  <c r="E467"/>
  <c r="O467" l="1"/>
  <c r="J467"/>
  <c r="M467"/>
  <c r="H467"/>
  <c r="C468"/>
  <c r="E468"/>
  <c r="D468"/>
  <c r="O468" l="1"/>
  <c r="J468"/>
  <c r="M468"/>
  <c r="H468"/>
  <c r="C469"/>
  <c r="E469"/>
  <c r="D469"/>
  <c r="O469" l="1"/>
  <c r="J469"/>
  <c r="M469"/>
  <c r="H469"/>
  <c r="C470"/>
  <c r="E470"/>
  <c r="D470"/>
  <c r="O470" l="1"/>
  <c r="J470"/>
  <c r="M470"/>
  <c r="H470"/>
  <c r="D471"/>
  <c r="C471"/>
  <c r="E471" s="1"/>
  <c r="O471" l="1"/>
  <c r="J471"/>
  <c r="M471"/>
  <c r="H471"/>
  <c r="C472"/>
  <c r="D472"/>
  <c r="E472"/>
  <c r="O472" l="1"/>
  <c r="J472"/>
  <c r="M472"/>
  <c r="H472"/>
  <c r="C473"/>
  <c r="D473"/>
  <c r="E473"/>
  <c r="O473" l="1"/>
  <c r="J473"/>
  <c r="M473"/>
  <c r="H473"/>
  <c r="C474"/>
  <c r="D474"/>
  <c r="E474"/>
  <c r="O474" l="1"/>
  <c r="J474"/>
  <c r="M474"/>
  <c r="H474"/>
  <c r="C475"/>
  <c r="E475"/>
  <c r="D475"/>
  <c r="O475" l="1"/>
  <c r="J475"/>
  <c r="M475"/>
  <c r="H475"/>
  <c r="C476"/>
  <c r="D476"/>
  <c r="E476"/>
  <c r="O476" l="1"/>
  <c r="J476"/>
  <c r="M476"/>
  <c r="H476"/>
  <c r="C477"/>
  <c r="D477"/>
  <c r="E477"/>
  <c r="O477" l="1"/>
  <c r="J477"/>
  <c r="M477"/>
  <c r="H477"/>
  <c r="C478"/>
  <c r="E478"/>
  <c r="D478"/>
  <c r="O478" l="1"/>
  <c r="J478"/>
  <c r="M478"/>
  <c r="H478"/>
  <c r="C479"/>
  <c r="E479"/>
  <c r="D479"/>
  <c r="O479" l="1"/>
  <c r="J479"/>
  <c r="M479"/>
  <c r="H479"/>
  <c r="C480"/>
  <c r="E480"/>
  <c r="D480"/>
  <c r="O480" l="1"/>
  <c r="J480"/>
  <c r="M480"/>
  <c r="H480"/>
  <c r="C481"/>
  <c r="E481"/>
  <c r="D481"/>
  <c r="O481" l="1"/>
  <c r="J481"/>
  <c r="M481"/>
  <c r="H481"/>
  <c r="C482"/>
  <c r="E482"/>
  <c r="D482"/>
  <c r="O482" l="1"/>
  <c r="J482"/>
  <c r="M482"/>
  <c r="H482"/>
  <c r="C483"/>
  <c r="E483"/>
  <c r="D483"/>
  <c r="O483" l="1"/>
  <c r="J483"/>
  <c r="M483"/>
  <c r="H483"/>
  <c r="C484"/>
  <c r="E484"/>
  <c r="D484"/>
  <c r="O484" l="1"/>
  <c r="J484"/>
  <c r="M484"/>
  <c r="H484"/>
  <c r="C485"/>
  <c r="E485"/>
  <c r="D485"/>
  <c r="O485" l="1"/>
  <c r="J485"/>
  <c r="M485"/>
  <c r="H485"/>
  <c r="C486"/>
  <c r="E486"/>
  <c r="D486"/>
  <c r="O486" l="1"/>
  <c r="J486"/>
  <c r="M486"/>
  <c r="H486"/>
  <c r="C487"/>
  <c r="E487"/>
  <c r="D487"/>
  <c r="O487" l="1"/>
  <c r="J487"/>
  <c r="M487"/>
  <c r="H487"/>
  <c r="C488"/>
  <c r="D488"/>
  <c r="E488"/>
  <c r="O488" l="1"/>
  <c r="J488"/>
  <c r="M488"/>
  <c r="H488"/>
  <c r="C489"/>
  <c r="D489"/>
  <c r="E489"/>
  <c r="O489" l="1"/>
  <c r="J489"/>
  <c r="M489"/>
  <c r="H489"/>
  <c r="C490"/>
  <c r="E490"/>
  <c r="D490"/>
  <c r="O490" l="1"/>
  <c r="J490"/>
  <c r="M490"/>
  <c r="H490"/>
  <c r="C491"/>
  <c r="D491"/>
  <c r="E491"/>
  <c r="O491" l="1"/>
  <c r="J491"/>
  <c r="M491"/>
  <c r="H491"/>
  <c r="C492"/>
  <c r="D492"/>
  <c r="E492"/>
  <c r="O492" l="1"/>
  <c r="J492"/>
  <c r="M492"/>
  <c r="H492"/>
  <c r="C493"/>
  <c r="D493"/>
  <c r="E493"/>
  <c r="O493" l="1"/>
  <c r="J493"/>
  <c r="M493"/>
  <c r="H493"/>
  <c r="C494"/>
  <c r="D494"/>
  <c r="E494"/>
  <c r="O494" l="1"/>
  <c r="J494"/>
  <c r="M494"/>
  <c r="H494"/>
  <c r="C495"/>
  <c r="D495"/>
  <c r="E495"/>
  <c r="O495" l="1"/>
  <c r="J495"/>
  <c r="M495"/>
  <c r="H495"/>
  <c r="C496"/>
  <c r="D496"/>
  <c r="E496"/>
  <c r="O496" l="1"/>
  <c r="J496"/>
  <c r="M496"/>
  <c r="H496"/>
  <c r="C497"/>
  <c r="E497"/>
  <c r="D497"/>
  <c r="O497" l="1"/>
  <c r="J497"/>
  <c r="M497"/>
  <c r="H497"/>
  <c r="C498"/>
  <c r="E498"/>
  <c r="D498"/>
  <c r="O498" l="1"/>
  <c r="J498"/>
  <c r="M498"/>
  <c r="H498"/>
  <c r="C499"/>
  <c r="E499"/>
  <c r="D499"/>
  <c r="O499" l="1"/>
  <c r="J499"/>
  <c r="M499"/>
  <c r="H499"/>
  <c r="C500"/>
  <c r="E500"/>
  <c r="D500"/>
  <c r="O500" l="1"/>
  <c r="J500"/>
  <c r="M500"/>
  <c r="H500"/>
  <c r="C501"/>
  <c r="D501"/>
  <c r="E501"/>
  <c r="O501" l="1"/>
  <c r="J501"/>
  <c r="M501"/>
  <c r="H501"/>
  <c r="C502"/>
  <c r="D502"/>
  <c r="E502"/>
  <c r="O502" l="1"/>
  <c r="J502"/>
  <c r="M502"/>
  <c r="H502"/>
  <c r="C503"/>
  <c r="D503"/>
  <c r="E503"/>
  <c r="O503" l="1"/>
  <c r="J503"/>
  <c r="M503"/>
  <c r="H503"/>
  <c r="C504"/>
  <c r="D504"/>
  <c r="E504"/>
  <c r="O504" l="1"/>
  <c r="J504"/>
  <c r="M504"/>
  <c r="H504"/>
  <c r="C505"/>
  <c r="E505"/>
  <c r="D505"/>
  <c r="O505" l="1"/>
  <c r="J505"/>
  <c r="M505"/>
  <c r="H505"/>
  <c r="C506"/>
  <c r="E506"/>
  <c r="D506"/>
  <c r="O506" l="1"/>
  <c r="J506"/>
  <c r="M506"/>
  <c r="H506"/>
  <c r="C507"/>
  <c r="E507"/>
  <c r="D507"/>
  <c r="O507" l="1"/>
  <c r="J507"/>
  <c r="M507"/>
  <c r="H507"/>
  <c r="C508"/>
  <c r="E508"/>
  <c r="D508"/>
  <c r="O508" l="1"/>
  <c r="J508"/>
  <c r="M508"/>
  <c r="H508"/>
  <c r="C509"/>
  <c r="E509"/>
  <c r="D509"/>
  <c r="O509" l="1"/>
  <c r="J509"/>
  <c r="M509"/>
  <c r="H509"/>
  <c r="C510"/>
  <c r="E510"/>
  <c r="D510"/>
  <c r="O510" l="1"/>
  <c r="J510"/>
  <c r="M510"/>
  <c r="H510"/>
  <c r="C511"/>
  <c r="D511"/>
  <c r="E511"/>
  <c r="O511" l="1"/>
  <c r="J511"/>
  <c r="M511"/>
  <c r="H511"/>
  <c r="C512"/>
  <c r="D512"/>
  <c r="E512"/>
  <c r="O512" l="1"/>
  <c r="J512"/>
  <c r="M512"/>
  <c r="H512"/>
  <c r="C513"/>
  <c r="E513"/>
  <c r="D513"/>
  <c r="O513" l="1"/>
  <c r="J513"/>
  <c r="M513"/>
  <c r="H513"/>
  <c r="C514"/>
  <c r="E514"/>
  <c r="D514"/>
  <c r="O514" l="1"/>
  <c r="J514"/>
  <c r="M514"/>
  <c r="H514"/>
  <c r="C515"/>
  <c r="E515"/>
  <c r="D515"/>
  <c r="O515" l="1"/>
  <c r="J515"/>
  <c r="M515"/>
  <c r="H515"/>
  <c r="C516"/>
  <c r="E516"/>
  <c r="D516"/>
  <c r="O516" l="1"/>
  <c r="J516"/>
  <c r="M516"/>
  <c r="H516"/>
  <c r="C517"/>
  <c r="E517"/>
  <c r="D517"/>
  <c r="O517" l="1"/>
  <c r="J517"/>
  <c r="M517"/>
  <c r="H517"/>
  <c r="C518"/>
  <c r="E518"/>
  <c r="D518"/>
  <c r="O518" l="1"/>
  <c r="J518"/>
  <c r="M518"/>
  <c r="H518"/>
  <c r="C519"/>
  <c r="D519"/>
  <c r="E519"/>
  <c r="O519" l="1"/>
  <c r="J519"/>
  <c r="M519"/>
  <c r="H519"/>
  <c r="C520"/>
  <c r="D520"/>
  <c r="E520"/>
  <c r="O520" l="1"/>
  <c r="J520"/>
  <c r="M520"/>
  <c r="H520"/>
  <c r="C521"/>
  <c r="E521"/>
  <c r="D521"/>
  <c r="O521" l="1"/>
  <c r="J521"/>
  <c r="M521"/>
  <c r="H521"/>
  <c r="C522"/>
  <c r="D522"/>
  <c r="E522"/>
  <c r="O522" l="1"/>
  <c r="J522"/>
  <c r="M522"/>
  <c r="H522"/>
  <c r="C523"/>
  <c r="E523"/>
  <c r="D523"/>
  <c r="O523" l="1"/>
  <c r="J523"/>
  <c r="M523"/>
  <c r="H523"/>
  <c r="C524"/>
  <c r="E524"/>
  <c r="D524"/>
  <c r="O524" l="1"/>
  <c r="J524"/>
  <c r="M524"/>
  <c r="H524"/>
  <c r="C525"/>
  <c r="E525"/>
  <c r="D525"/>
  <c r="O525" l="1"/>
  <c r="J525"/>
  <c r="M525"/>
  <c r="H525"/>
  <c r="C526"/>
  <c r="D526"/>
  <c r="E526"/>
  <c r="O526" l="1"/>
  <c r="J526"/>
  <c r="M526"/>
  <c r="H526"/>
  <c r="C527"/>
  <c r="D527"/>
  <c r="E527"/>
  <c r="O527" l="1"/>
  <c r="J527"/>
  <c r="M527"/>
  <c r="H527"/>
  <c r="C528"/>
  <c r="D528"/>
  <c r="E528"/>
  <c r="O528" l="1"/>
  <c r="J528"/>
  <c r="M528"/>
  <c r="H528"/>
  <c r="C529"/>
  <c r="D529"/>
  <c r="E529"/>
  <c r="O529" l="1"/>
  <c r="J529"/>
  <c r="M529"/>
  <c r="H529"/>
  <c r="C530"/>
  <c r="D530"/>
  <c r="E530"/>
  <c r="O530" l="1"/>
  <c r="J530"/>
  <c r="M530"/>
  <c r="H530"/>
  <c r="C531"/>
  <c r="D531"/>
  <c r="E531"/>
  <c r="O531" l="1"/>
  <c r="J531"/>
  <c r="M531"/>
  <c r="H531"/>
  <c r="C532"/>
  <c r="D532"/>
  <c r="E532"/>
  <c r="O532" l="1"/>
  <c r="J532"/>
  <c r="M532"/>
  <c r="H532"/>
  <c r="C533"/>
  <c r="D533"/>
  <c r="E533"/>
  <c r="O533" l="1"/>
  <c r="J533"/>
  <c r="M533"/>
  <c r="H533"/>
  <c r="C534"/>
  <c r="E534"/>
  <c r="D534"/>
  <c r="O534" l="1"/>
  <c r="J534"/>
  <c r="M534"/>
  <c r="H534"/>
  <c r="C535"/>
  <c r="E535"/>
  <c r="D535"/>
  <c r="O535" l="1"/>
  <c r="J535"/>
  <c r="M535"/>
  <c r="H535"/>
  <c r="C536"/>
  <c r="E536"/>
  <c r="D536"/>
  <c r="O536" l="1"/>
  <c r="J536"/>
  <c r="M536"/>
  <c r="H536"/>
  <c r="C537"/>
  <c r="E537"/>
  <c r="D537"/>
  <c r="O537" l="1"/>
  <c r="J537"/>
  <c r="M537"/>
  <c r="H537"/>
  <c r="C538"/>
  <c r="E538"/>
  <c r="D538"/>
  <c r="O538" l="1"/>
  <c r="J538"/>
  <c r="M538"/>
  <c r="H538"/>
  <c r="C539"/>
  <c r="D539"/>
  <c r="E539"/>
  <c r="O539" l="1"/>
  <c r="J539"/>
  <c r="M539"/>
  <c r="H539"/>
  <c r="C540"/>
  <c r="E540"/>
  <c r="D540"/>
  <c r="O540" l="1"/>
  <c r="J540"/>
  <c r="M540"/>
  <c r="H540"/>
  <c r="C541"/>
  <c r="E541"/>
  <c r="D541"/>
  <c r="O541" l="1"/>
  <c r="J541"/>
  <c r="M541"/>
  <c r="H541"/>
  <c r="C542"/>
  <c r="D542"/>
  <c r="E542"/>
  <c r="O542" l="1"/>
  <c r="J542"/>
  <c r="M542"/>
  <c r="H542"/>
  <c r="C543"/>
  <c r="D543"/>
  <c r="E543"/>
  <c r="O543" l="1"/>
  <c r="J543"/>
  <c r="M543"/>
  <c r="H543"/>
  <c r="C544"/>
  <c r="D544"/>
  <c r="E544"/>
  <c r="O544" l="1"/>
  <c r="J544"/>
  <c r="M544"/>
  <c r="H544"/>
  <c r="C545"/>
  <c r="E545"/>
  <c r="D545"/>
  <c r="O545" l="1"/>
  <c r="J545"/>
  <c r="M545"/>
  <c r="H545"/>
  <c r="C546"/>
  <c r="D546"/>
  <c r="E546"/>
  <c r="O546" l="1"/>
  <c r="J546"/>
  <c r="M546"/>
  <c r="H546"/>
  <c r="C547"/>
  <c r="D547"/>
  <c r="E547"/>
  <c r="O547" l="1"/>
  <c r="J547"/>
  <c r="M547"/>
  <c r="H547"/>
  <c r="C548"/>
  <c r="E548"/>
  <c r="D548"/>
  <c r="O548" l="1"/>
  <c r="J548"/>
  <c r="M548"/>
  <c r="H548"/>
  <c r="C549"/>
  <c r="D549"/>
  <c r="E549"/>
  <c r="O549" l="1"/>
  <c r="J549"/>
  <c r="M549"/>
  <c r="H549"/>
  <c r="C550"/>
  <c r="D550"/>
  <c r="E550"/>
  <c r="O550" l="1"/>
  <c r="J550"/>
  <c r="M550"/>
  <c r="H550"/>
  <c r="C551"/>
  <c r="D551"/>
  <c r="E551"/>
  <c r="O551" l="1"/>
  <c r="J551"/>
  <c r="M551"/>
  <c r="H551"/>
  <c r="C552"/>
  <c r="E552"/>
  <c r="D552"/>
  <c r="O552" l="1"/>
  <c r="J552"/>
  <c r="M552"/>
  <c r="H552"/>
  <c r="C553"/>
  <c r="E553"/>
  <c r="D553"/>
  <c r="O553" l="1"/>
  <c r="J553"/>
  <c r="M553"/>
  <c r="H553"/>
  <c r="C554"/>
  <c r="D554"/>
  <c r="E554"/>
  <c r="O554" l="1"/>
  <c r="J554"/>
  <c r="M554"/>
  <c r="H554"/>
  <c r="C555"/>
  <c r="D555"/>
  <c r="E555"/>
  <c r="O555" l="1"/>
  <c r="J555"/>
  <c r="M555"/>
  <c r="H555"/>
  <c r="C556"/>
  <c r="E556"/>
  <c r="D556"/>
  <c r="O556" l="1"/>
  <c r="J556"/>
  <c r="M556"/>
  <c r="H556"/>
  <c r="C557"/>
  <c r="E557"/>
  <c r="D557"/>
  <c r="O557" l="1"/>
  <c r="J557"/>
  <c r="M557"/>
  <c r="H557"/>
  <c r="C558"/>
  <c r="D558"/>
  <c r="E558"/>
  <c r="O558" l="1"/>
  <c r="J558"/>
  <c r="M558"/>
  <c r="H558"/>
  <c r="C559"/>
  <c r="D559"/>
  <c r="E559"/>
  <c r="O559" l="1"/>
  <c r="J559"/>
  <c r="M559"/>
  <c r="H559"/>
  <c r="C560"/>
  <c r="E560"/>
  <c r="D560"/>
  <c r="O560" l="1"/>
  <c r="J560"/>
  <c r="M560"/>
  <c r="H560"/>
  <c r="C561"/>
  <c r="E561"/>
  <c r="D561"/>
  <c r="O561" l="1"/>
  <c r="J561"/>
  <c r="M561"/>
  <c r="H561"/>
  <c r="C562"/>
  <c r="D562"/>
  <c r="E562"/>
  <c r="O562" l="1"/>
  <c r="J562"/>
  <c r="M562"/>
  <c r="H562"/>
  <c r="C563"/>
  <c r="D563"/>
  <c r="E563"/>
  <c r="O563" l="1"/>
  <c r="J563"/>
  <c r="M563"/>
  <c r="H563"/>
  <c r="C564"/>
  <c r="E564"/>
  <c r="D564"/>
  <c r="O564" l="1"/>
  <c r="J564"/>
  <c r="M564"/>
  <c r="H564"/>
  <c r="C565"/>
  <c r="D565"/>
  <c r="E565"/>
  <c r="O565" l="1"/>
  <c r="J565"/>
  <c r="M565"/>
  <c r="H565"/>
  <c r="C566"/>
  <c r="E566"/>
  <c r="D566"/>
  <c r="O566" l="1"/>
  <c r="J566"/>
  <c r="M566"/>
  <c r="H566"/>
  <c r="C567"/>
  <c r="E567"/>
  <c r="D567"/>
  <c r="O567" l="1"/>
  <c r="J567"/>
  <c r="M567"/>
  <c r="H567"/>
  <c r="C568"/>
  <c r="E568"/>
  <c r="D568"/>
  <c r="O568" l="1"/>
  <c r="J568"/>
  <c r="M568"/>
  <c r="H568"/>
  <c r="C569"/>
  <c r="E569"/>
  <c r="D569"/>
  <c r="O569" l="1"/>
  <c r="J569"/>
  <c r="M569"/>
  <c r="H569"/>
  <c r="C570"/>
  <c r="E570"/>
  <c r="D570"/>
  <c r="O570" l="1"/>
  <c r="J570"/>
  <c r="M570"/>
  <c r="H570"/>
  <c r="C571"/>
  <c r="E571"/>
  <c r="D571"/>
  <c r="O571" l="1"/>
  <c r="J571"/>
  <c r="M571"/>
  <c r="H571"/>
  <c r="C572"/>
  <c r="E572"/>
  <c r="D572"/>
  <c r="O572" l="1"/>
  <c r="J572"/>
  <c r="M572"/>
  <c r="H572"/>
  <c r="C573"/>
  <c r="E573"/>
  <c r="D573"/>
  <c r="O573" l="1"/>
  <c r="J573"/>
  <c r="M573"/>
  <c r="H573"/>
  <c r="C574"/>
  <c r="E574"/>
  <c r="D574"/>
  <c r="O574" l="1"/>
  <c r="J574"/>
  <c r="M574"/>
  <c r="H574"/>
  <c r="C575"/>
  <c r="D575"/>
  <c r="E575"/>
  <c r="O575" l="1"/>
  <c r="J575"/>
  <c r="M575"/>
  <c r="H575"/>
  <c r="C576"/>
  <c r="E576"/>
  <c r="D576"/>
  <c r="O576" l="1"/>
  <c r="J576"/>
  <c r="M576"/>
  <c r="H576"/>
  <c r="C577"/>
  <c r="E577"/>
  <c r="D577"/>
  <c r="O577" l="1"/>
  <c r="J577"/>
  <c r="M577"/>
  <c r="H577"/>
  <c r="C578"/>
  <c r="E578"/>
  <c r="D578"/>
  <c r="O578" l="1"/>
  <c r="J578"/>
  <c r="M578"/>
  <c r="H578"/>
  <c r="C579"/>
  <c r="E579"/>
  <c r="D579"/>
  <c r="O579" l="1"/>
  <c r="J579"/>
  <c r="M579"/>
  <c r="H579"/>
  <c r="C580"/>
  <c r="E580"/>
  <c r="D580"/>
  <c r="O580" l="1"/>
  <c r="J580"/>
  <c r="M580"/>
  <c r="H580"/>
  <c r="C581"/>
  <c r="E581"/>
  <c r="D581"/>
  <c r="O581" l="1"/>
  <c r="J581"/>
  <c r="M581"/>
  <c r="H581"/>
  <c r="C582"/>
  <c r="E582"/>
  <c r="D582"/>
  <c r="O582" l="1"/>
  <c r="J582"/>
  <c r="M582"/>
  <c r="H582"/>
  <c r="C583"/>
  <c r="E583"/>
  <c r="D583"/>
  <c r="O583" l="1"/>
  <c r="J583"/>
  <c r="M583"/>
  <c r="H583"/>
  <c r="C584"/>
  <c r="E584"/>
  <c r="D584"/>
  <c r="O584" l="1"/>
  <c r="J584"/>
  <c r="M584"/>
  <c r="H584"/>
  <c r="C585"/>
  <c r="E585"/>
  <c r="D585"/>
  <c r="O585" l="1"/>
  <c r="J585"/>
  <c r="M585"/>
  <c r="H585"/>
  <c r="C586"/>
  <c r="E586"/>
  <c r="D586"/>
  <c r="O586" l="1"/>
  <c r="J586"/>
  <c r="M586"/>
  <c r="H586"/>
  <c r="C587"/>
  <c r="D587"/>
  <c r="E587"/>
  <c r="O587" l="1"/>
  <c r="J587"/>
  <c r="M587"/>
  <c r="H587"/>
  <c r="C588"/>
  <c r="E588"/>
  <c r="D588"/>
  <c r="O588" l="1"/>
  <c r="J588"/>
  <c r="M588"/>
  <c r="H588"/>
  <c r="C589"/>
  <c r="D589"/>
  <c r="E589"/>
  <c r="O589" l="1"/>
  <c r="J589"/>
  <c r="M589"/>
  <c r="H589"/>
  <c r="C590"/>
  <c r="D590"/>
  <c r="E590"/>
  <c r="O590" l="1"/>
  <c r="J590"/>
  <c r="M590"/>
  <c r="H590"/>
  <c r="C591"/>
  <c r="D591"/>
  <c r="E591"/>
  <c r="O591" l="1"/>
  <c r="J591"/>
  <c r="M591"/>
  <c r="H591"/>
  <c r="C592"/>
  <c r="D592"/>
  <c r="E592"/>
  <c r="O592" l="1"/>
  <c r="J592"/>
  <c r="M592"/>
  <c r="H592"/>
  <c r="C593"/>
  <c r="D593"/>
  <c r="E593"/>
  <c r="O593" l="1"/>
  <c r="J593"/>
  <c r="M593"/>
  <c r="H593"/>
  <c r="C594"/>
  <c r="D594"/>
  <c r="E594"/>
  <c r="O594" l="1"/>
  <c r="J594"/>
  <c r="M594"/>
  <c r="H594"/>
  <c r="C595"/>
  <c r="D595"/>
  <c r="E595"/>
  <c r="O595" l="1"/>
  <c r="J595"/>
  <c r="M595"/>
  <c r="H595"/>
  <c r="C596"/>
  <c r="D596"/>
  <c r="E596"/>
  <c r="O596" l="1"/>
  <c r="J596"/>
  <c r="M596"/>
  <c r="H596"/>
  <c r="C597"/>
  <c r="D597"/>
  <c r="E597"/>
  <c r="O597" l="1"/>
  <c r="J597"/>
  <c r="M597"/>
  <c r="H597"/>
  <c r="C598"/>
  <c r="D598"/>
  <c r="E598"/>
  <c r="O598" l="1"/>
  <c r="J598"/>
  <c r="M598"/>
  <c r="H598"/>
  <c r="C599"/>
  <c r="D599"/>
  <c r="E599"/>
  <c r="O599" l="1"/>
  <c r="J599"/>
  <c r="M599"/>
  <c r="H599"/>
  <c r="C600"/>
  <c r="D600"/>
  <c r="E600"/>
  <c r="O600" l="1"/>
  <c r="J600"/>
  <c r="M600"/>
  <c r="H600"/>
  <c r="C601"/>
  <c r="D601"/>
  <c r="E601"/>
  <c r="O601" l="1"/>
  <c r="J601"/>
  <c r="M601"/>
  <c r="H601"/>
  <c r="C602"/>
  <c r="D602"/>
  <c r="E602"/>
  <c r="O602" l="1"/>
  <c r="J602"/>
  <c r="M602"/>
  <c r="H602"/>
  <c r="C603"/>
  <c r="E603"/>
  <c r="D603"/>
  <c r="O603" l="1"/>
  <c r="J603"/>
  <c r="M603"/>
  <c r="H603"/>
  <c r="C604"/>
  <c r="E604"/>
  <c r="D604"/>
  <c r="O604" l="1"/>
  <c r="J604"/>
  <c r="M604"/>
  <c r="H604"/>
  <c r="C605"/>
  <c r="E605"/>
  <c r="D605"/>
  <c r="O605" l="1"/>
  <c r="J605"/>
  <c r="M605"/>
  <c r="H605"/>
  <c r="C606"/>
  <c r="D606"/>
  <c r="E606"/>
  <c r="O606" l="1"/>
  <c r="J606"/>
  <c r="M606"/>
  <c r="H606"/>
  <c r="C607"/>
  <c r="D607"/>
  <c r="E607"/>
  <c r="O607" l="1"/>
  <c r="J607"/>
  <c r="M607"/>
  <c r="H607"/>
  <c r="C608"/>
  <c r="D608"/>
  <c r="E608"/>
  <c r="O608" l="1"/>
  <c r="J608"/>
  <c r="M608"/>
  <c r="H608"/>
  <c r="C609"/>
  <c r="D609"/>
  <c r="E609"/>
  <c r="O609" l="1"/>
  <c r="J609"/>
  <c r="M609"/>
  <c r="H609"/>
  <c r="C610"/>
  <c r="D610"/>
  <c r="E610"/>
  <c r="O610" l="1"/>
  <c r="J610"/>
  <c r="M610"/>
  <c r="H610"/>
  <c r="C611"/>
  <c r="D611"/>
  <c r="E611"/>
  <c r="O611" l="1"/>
  <c r="J611"/>
  <c r="M611"/>
  <c r="H611"/>
  <c r="C612"/>
  <c r="E612"/>
  <c r="D612"/>
  <c r="O612" l="1"/>
  <c r="J612"/>
  <c r="M612"/>
  <c r="H612"/>
  <c r="C613"/>
  <c r="D613"/>
  <c r="E613"/>
  <c r="O613" l="1"/>
  <c r="J613"/>
  <c r="M613"/>
  <c r="H613"/>
  <c r="C614"/>
  <c r="D614"/>
  <c r="E614"/>
  <c r="O614" l="1"/>
  <c r="J614"/>
  <c r="M614"/>
  <c r="H614"/>
  <c r="C615"/>
  <c r="D615"/>
  <c r="E615"/>
  <c r="O615" l="1"/>
  <c r="J615"/>
  <c r="M615"/>
  <c r="H615"/>
  <c r="C616"/>
  <c r="D616"/>
  <c r="E616"/>
  <c r="O616" l="1"/>
  <c r="J616"/>
  <c r="M616"/>
  <c r="H616"/>
  <c r="C617"/>
  <c r="D617"/>
  <c r="E617"/>
  <c r="O617" l="1"/>
  <c r="J617"/>
  <c r="M617"/>
  <c r="H617"/>
  <c r="C618"/>
  <c r="D618"/>
  <c r="E618"/>
  <c r="O618" l="1"/>
  <c r="J618"/>
  <c r="M618"/>
  <c r="H618"/>
  <c r="C619"/>
  <c r="D619"/>
  <c r="E619"/>
  <c r="O619" l="1"/>
  <c r="J619"/>
  <c r="M619"/>
  <c r="H619"/>
  <c r="D620"/>
  <c r="C620"/>
  <c r="E620" s="1"/>
  <c r="O620" l="1"/>
  <c r="J620"/>
  <c r="M620"/>
  <c r="H620"/>
  <c r="C621"/>
  <c r="D621"/>
  <c r="E621"/>
  <c r="O621" l="1"/>
  <c r="J621"/>
  <c r="M621"/>
  <c r="H621"/>
  <c r="C622"/>
  <c r="D622"/>
  <c r="E622"/>
  <c r="O622" l="1"/>
  <c r="J622"/>
  <c r="M622"/>
  <c r="H622"/>
  <c r="C623"/>
  <c r="D623"/>
  <c r="E623"/>
  <c r="O623" l="1"/>
  <c r="J623"/>
  <c r="M623"/>
  <c r="H623"/>
  <c r="C624"/>
  <c r="E624"/>
  <c r="D624"/>
  <c r="O624" l="1"/>
  <c r="J624"/>
  <c r="M624"/>
  <c r="H624"/>
  <c r="C625"/>
  <c r="E625"/>
  <c r="D625"/>
  <c r="O625" l="1"/>
  <c r="J625"/>
  <c r="M625"/>
  <c r="H625"/>
  <c r="C626"/>
  <c r="E626"/>
  <c r="D626"/>
  <c r="O626" l="1"/>
  <c r="J626"/>
  <c r="M626"/>
  <c r="H626"/>
  <c r="C627"/>
  <c r="D627"/>
  <c r="E627"/>
  <c r="O627" l="1"/>
  <c r="J627"/>
  <c r="M627"/>
  <c r="H627"/>
  <c r="C628"/>
  <c r="E628"/>
  <c r="D628"/>
  <c r="O628" l="1"/>
  <c r="J628"/>
  <c r="M628"/>
  <c r="H628"/>
  <c r="C629"/>
  <c r="D629"/>
  <c r="E629"/>
  <c r="O629" l="1"/>
  <c r="J629"/>
  <c r="M629"/>
  <c r="H629"/>
  <c r="C630"/>
  <c r="D630"/>
  <c r="E630"/>
  <c r="O630" l="1"/>
  <c r="J630"/>
  <c r="M630"/>
  <c r="H630"/>
  <c r="C631"/>
  <c r="E631"/>
  <c r="D631"/>
  <c r="O631" l="1"/>
  <c r="J631"/>
  <c r="M631"/>
  <c r="H631"/>
  <c r="C632"/>
  <c r="E632"/>
  <c r="D632"/>
  <c r="O632" l="1"/>
  <c r="J632"/>
  <c r="M632"/>
  <c r="H632"/>
  <c r="C633"/>
  <c r="E633"/>
  <c r="D633"/>
  <c r="O633" l="1"/>
  <c r="J633"/>
  <c r="M633"/>
  <c r="H633"/>
  <c r="C634"/>
  <c r="E634"/>
  <c r="D634"/>
  <c r="O634" l="1"/>
  <c r="J634"/>
  <c r="M634"/>
  <c r="H634"/>
  <c r="C635"/>
  <c r="D635"/>
  <c r="E635"/>
  <c r="O635" l="1"/>
  <c r="J635"/>
  <c r="M635"/>
  <c r="H635"/>
  <c r="C636"/>
  <c r="D636"/>
  <c r="E636"/>
  <c r="O636" l="1"/>
  <c r="J636"/>
  <c r="M636"/>
  <c r="H636"/>
  <c r="C637"/>
  <c r="D637"/>
  <c r="E637"/>
  <c r="O637" l="1"/>
  <c r="J637"/>
  <c r="M637"/>
  <c r="H637"/>
  <c r="C638"/>
  <c r="E638"/>
  <c r="D638"/>
  <c r="O638" l="1"/>
  <c r="J638"/>
  <c r="M638"/>
  <c r="H638"/>
  <c r="C639"/>
  <c r="D639"/>
  <c r="E639"/>
  <c r="O639" l="1"/>
  <c r="J639"/>
  <c r="M639"/>
  <c r="H639"/>
  <c r="C640"/>
  <c r="D640"/>
  <c r="E640"/>
  <c r="O640" l="1"/>
  <c r="J640"/>
  <c r="M640"/>
  <c r="H640"/>
  <c r="C641"/>
  <c r="D641"/>
  <c r="E641"/>
  <c r="O641" l="1"/>
  <c r="J641"/>
  <c r="M641"/>
  <c r="H641"/>
  <c r="C642"/>
  <c r="D642"/>
  <c r="E642"/>
  <c r="O642" l="1"/>
  <c r="J642"/>
  <c r="M642"/>
  <c r="H642"/>
  <c r="C643"/>
  <c r="E643"/>
  <c r="D643"/>
  <c r="O643" l="1"/>
  <c r="J643"/>
  <c r="M643"/>
  <c r="H643"/>
  <c r="C644"/>
  <c r="D644"/>
  <c r="E644"/>
  <c r="O644" l="1"/>
  <c r="J644"/>
  <c r="M644"/>
  <c r="H644"/>
  <c r="C645"/>
  <c r="D645"/>
  <c r="E645"/>
  <c r="O645" l="1"/>
  <c r="J645"/>
  <c r="M645"/>
  <c r="H645"/>
  <c r="C646"/>
  <c r="E646"/>
  <c r="D646"/>
  <c r="O646" l="1"/>
  <c r="J646"/>
  <c r="M646"/>
  <c r="H646"/>
  <c r="C647"/>
  <c r="E647"/>
  <c r="D647"/>
  <c r="O647" l="1"/>
  <c r="J647"/>
  <c r="M647"/>
  <c r="H647"/>
  <c r="C648"/>
  <c r="D648"/>
  <c r="E648"/>
  <c r="O648" l="1"/>
  <c r="J648"/>
  <c r="M648"/>
  <c r="H648"/>
  <c r="C649"/>
  <c r="E649"/>
  <c r="D649"/>
  <c r="O649" l="1"/>
  <c r="J649"/>
  <c r="M649"/>
  <c r="H649"/>
  <c r="C650"/>
  <c r="D650"/>
  <c r="E650"/>
  <c r="O650" l="1"/>
  <c r="J650"/>
  <c r="M650"/>
  <c r="H650"/>
  <c r="C651"/>
  <c r="E651"/>
  <c r="D651"/>
  <c r="O651" l="1"/>
  <c r="J651"/>
  <c r="M651"/>
  <c r="H651"/>
  <c r="C652"/>
  <c r="D652"/>
  <c r="E652"/>
  <c r="O652" l="1"/>
  <c r="J652"/>
  <c r="M652"/>
  <c r="H652"/>
  <c r="C653"/>
  <c r="E653"/>
  <c r="D653"/>
  <c r="O653" l="1"/>
  <c r="J653"/>
  <c r="M653"/>
  <c r="H653"/>
  <c r="C654"/>
  <c r="E654"/>
  <c r="D654"/>
  <c r="O654" l="1"/>
  <c r="J654"/>
  <c r="M654"/>
  <c r="H654"/>
  <c r="C655"/>
  <c r="E655"/>
  <c r="D655"/>
  <c r="O655" l="1"/>
  <c r="J655"/>
  <c r="M655"/>
  <c r="H655"/>
  <c r="C656"/>
  <c r="E656"/>
  <c r="D656"/>
  <c r="O656" l="1"/>
  <c r="J656"/>
  <c r="M656"/>
  <c r="H656"/>
  <c r="C657"/>
  <c r="D657"/>
  <c r="E657"/>
  <c r="O657" l="1"/>
  <c r="J657"/>
  <c r="M657"/>
  <c r="H657"/>
  <c r="C658"/>
  <c r="E658"/>
  <c r="D658"/>
  <c r="O658" l="1"/>
  <c r="J658"/>
  <c r="M658"/>
  <c r="H658"/>
  <c r="C659"/>
  <c r="E659"/>
  <c r="D659"/>
  <c r="O659" l="1"/>
  <c r="J659"/>
  <c r="M659"/>
  <c r="H659"/>
  <c r="C660"/>
  <c r="E660"/>
  <c r="D660"/>
  <c r="O660" l="1"/>
  <c r="J660"/>
  <c r="M660"/>
  <c r="H660"/>
  <c r="C661"/>
  <c r="E661"/>
  <c r="D661"/>
  <c r="O661" l="1"/>
  <c r="J661"/>
  <c r="M661"/>
  <c r="H661"/>
  <c r="C662"/>
  <c r="E662"/>
  <c r="D662"/>
  <c r="O662" l="1"/>
  <c r="J662"/>
  <c r="M662"/>
  <c r="H662"/>
  <c r="C663"/>
  <c r="D663"/>
  <c r="E663"/>
  <c r="O663" l="1"/>
  <c r="J663"/>
  <c r="M663"/>
  <c r="H663"/>
  <c r="C664"/>
  <c r="D664"/>
  <c r="E664"/>
  <c r="O664" l="1"/>
  <c r="J664"/>
  <c r="M664"/>
  <c r="H664"/>
  <c r="C665"/>
  <c r="E665"/>
  <c r="D665"/>
  <c r="O665" l="1"/>
  <c r="J665"/>
  <c r="M665"/>
  <c r="H665"/>
  <c r="C666"/>
  <c r="E666"/>
  <c r="D666"/>
  <c r="O666" l="1"/>
  <c r="J666"/>
  <c r="M666"/>
  <c r="H666"/>
  <c r="C667"/>
  <c r="E667"/>
  <c r="D667"/>
  <c r="O667" l="1"/>
  <c r="J667"/>
  <c r="M667"/>
  <c r="H667"/>
  <c r="C668"/>
  <c r="E668"/>
  <c r="D668"/>
  <c r="O668" l="1"/>
  <c r="J668"/>
  <c r="M668"/>
  <c r="H668"/>
  <c r="C669"/>
  <c r="E669"/>
  <c r="D669"/>
  <c r="O669" l="1"/>
  <c r="J669"/>
  <c r="M669"/>
  <c r="H669"/>
  <c r="C670"/>
  <c r="E670"/>
  <c r="D670"/>
  <c r="O670" l="1"/>
  <c r="J670"/>
  <c r="M670"/>
  <c r="H670"/>
  <c r="C671"/>
  <c r="D671"/>
  <c r="E671"/>
  <c r="O671" l="1"/>
  <c r="J671"/>
  <c r="M671"/>
  <c r="H671"/>
  <c r="C672"/>
  <c r="D672"/>
  <c r="E672"/>
  <c r="O672" l="1"/>
  <c r="J672"/>
  <c r="M672"/>
  <c r="H672"/>
  <c r="C673"/>
  <c r="D673"/>
  <c r="E673"/>
  <c r="O673" l="1"/>
  <c r="J673"/>
  <c r="M673"/>
  <c r="H673"/>
  <c r="C674"/>
  <c r="D674"/>
  <c r="E674"/>
  <c r="O674" l="1"/>
  <c r="J674"/>
  <c r="M674"/>
  <c r="H674"/>
  <c r="C675"/>
  <c r="D675"/>
  <c r="E675"/>
  <c r="O675" l="1"/>
  <c r="J675"/>
  <c r="M675"/>
  <c r="H675"/>
  <c r="C676"/>
  <c r="E676"/>
  <c r="D676"/>
  <c r="O676" l="1"/>
  <c r="J676"/>
  <c r="M676"/>
  <c r="H676"/>
  <c r="C677"/>
  <c r="E677"/>
  <c r="D677"/>
  <c r="O677" l="1"/>
  <c r="J677"/>
  <c r="M677"/>
  <c r="H677"/>
  <c r="C678"/>
  <c r="D678"/>
  <c r="E678"/>
  <c r="O678" l="1"/>
  <c r="J678"/>
  <c r="M678"/>
  <c r="H678"/>
  <c r="C679"/>
  <c r="E679"/>
  <c r="D679"/>
  <c r="O679" l="1"/>
  <c r="J679"/>
  <c r="M679"/>
  <c r="H679"/>
  <c r="C680"/>
  <c r="E680"/>
  <c r="D680"/>
  <c r="O680" l="1"/>
  <c r="J680"/>
  <c r="M680"/>
  <c r="H680"/>
  <c r="C681"/>
  <c r="D681"/>
  <c r="E681"/>
  <c r="O681" l="1"/>
  <c r="J681"/>
  <c r="M681"/>
  <c r="H681"/>
  <c r="C682"/>
  <c r="D682"/>
  <c r="E682"/>
  <c r="O682" l="1"/>
  <c r="J682"/>
  <c r="M682"/>
  <c r="H682"/>
  <c r="C683"/>
  <c r="E683"/>
  <c r="D683"/>
  <c r="O683" l="1"/>
  <c r="J683"/>
  <c r="M683"/>
  <c r="H683"/>
  <c r="C684"/>
  <c r="E684"/>
  <c r="D684"/>
  <c r="O684" l="1"/>
  <c r="J684"/>
  <c r="M684"/>
  <c r="H684"/>
  <c r="C685"/>
  <c r="D685"/>
  <c r="E685"/>
  <c r="O685" l="1"/>
  <c r="J685"/>
  <c r="M685"/>
  <c r="H685"/>
  <c r="C686"/>
  <c r="E686"/>
  <c r="D686"/>
  <c r="O686" l="1"/>
  <c r="J686"/>
  <c r="M686"/>
  <c r="H686"/>
  <c r="C687"/>
  <c r="D687"/>
  <c r="E687"/>
  <c r="O687" l="1"/>
  <c r="J687"/>
  <c r="M687"/>
  <c r="H687"/>
  <c r="C688"/>
  <c r="D688"/>
  <c r="E688"/>
  <c r="O688" l="1"/>
  <c r="J688"/>
  <c r="M688"/>
  <c r="H688"/>
  <c r="C689"/>
  <c r="D689"/>
  <c r="E689"/>
  <c r="O689" l="1"/>
  <c r="J689"/>
  <c r="M689"/>
  <c r="H689"/>
  <c r="C690"/>
  <c r="D690"/>
  <c r="E690"/>
  <c r="O690" l="1"/>
  <c r="J690"/>
  <c r="M690"/>
  <c r="H690"/>
  <c r="C691"/>
  <c r="D691"/>
  <c r="E691"/>
  <c r="O691" l="1"/>
  <c r="J691"/>
  <c r="M691"/>
  <c r="H691"/>
  <c r="C692"/>
  <c r="E692"/>
  <c r="D692"/>
  <c r="O692" l="1"/>
  <c r="J692"/>
  <c r="M692"/>
  <c r="H692"/>
  <c r="C693"/>
  <c r="E693"/>
  <c r="D693"/>
  <c r="O693" l="1"/>
  <c r="J693"/>
  <c r="M693"/>
  <c r="H693"/>
  <c r="C694"/>
  <c r="E694"/>
  <c r="D694"/>
  <c r="O694" l="1"/>
  <c r="J694"/>
  <c r="M694"/>
  <c r="H694"/>
  <c r="C695"/>
  <c r="D695"/>
  <c r="E695"/>
  <c r="O695" l="1"/>
  <c r="J695"/>
  <c r="M695"/>
  <c r="H695"/>
  <c r="C696"/>
  <c r="E696"/>
  <c r="D696"/>
  <c r="O696" l="1"/>
  <c r="J696"/>
  <c r="M696"/>
  <c r="H696"/>
  <c r="C697"/>
  <c r="E697"/>
  <c r="D697"/>
  <c r="O697" l="1"/>
  <c r="J697"/>
  <c r="M697"/>
  <c r="H697"/>
  <c r="C698"/>
  <c r="E698"/>
  <c r="D698"/>
  <c r="O698" l="1"/>
  <c r="J698"/>
  <c r="M698"/>
  <c r="H698"/>
  <c r="C699"/>
  <c r="D699"/>
  <c r="E699"/>
  <c r="O699" l="1"/>
  <c r="J699"/>
  <c r="M699"/>
  <c r="H699"/>
  <c r="C700"/>
  <c r="E700"/>
  <c r="D700"/>
  <c r="O700" l="1"/>
  <c r="J700"/>
  <c r="M700"/>
  <c r="H700"/>
  <c r="C701"/>
  <c r="E701"/>
  <c r="D701"/>
  <c r="O701" l="1"/>
  <c r="J701"/>
  <c r="M701"/>
  <c r="H701"/>
  <c r="C702"/>
  <c r="D702"/>
  <c r="E702"/>
  <c r="O702" l="1"/>
  <c r="J702"/>
  <c r="M702"/>
  <c r="H702"/>
  <c r="C703"/>
  <c r="E703"/>
  <c r="D703"/>
  <c r="O703" l="1"/>
  <c r="J703"/>
  <c r="M703"/>
  <c r="H703"/>
  <c r="C704"/>
  <c r="D704"/>
  <c r="E704"/>
  <c r="O704" l="1"/>
  <c r="J704"/>
  <c r="M704"/>
  <c r="H704"/>
  <c r="C705"/>
  <c r="E705"/>
  <c r="D705"/>
  <c r="O705" l="1"/>
  <c r="J705"/>
  <c r="M705"/>
  <c r="H705"/>
  <c r="C706"/>
  <c r="D706"/>
  <c r="E706"/>
  <c r="O706" l="1"/>
  <c r="J706"/>
  <c r="M706"/>
  <c r="H706"/>
  <c r="C707"/>
  <c r="E707"/>
  <c r="D707"/>
  <c r="O707" l="1"/>
  <c r="J707"/>
  <c r="M707"/>
  <c r="H707"/>
  <c r="C708"/>
  <c r="E708"/>
  <c r="D708"/>
  <c r="O708" l="1"/>
  <c r="J708"/>
  <c r="M708"/>
  <c r="H708"/>
  <c r="C709"/>
  <c r="E709"/>
  <c r="D709"/>
  <c r="O709" l="1"/>
  <c r="J709"/>
  <c r="M709"/>
  <c r="H709"/>
  <c r="C710"/>
  <c r="E710"/>
  <c r="D710"/>
  <c r="O710" l="1"/>
  <c r="J710"/>
  <c r="M710"/>
  <c r="H710"/>
  <c r="C711"/>
  <c r="D711"/>
  <c r="E711"/>
  <c r="O711" l="1"/>
  <c r="J711"/>
  <c r="M711"/>
  <c r="H711"/>
  <c r="C712"/>
  <c r="D712"/>
  <c r="E712"/>
  <c r="O712" l="1"/>
  <c r="J712"/>
  <c r="M712"/>
  <c r="H712"/>
  <c r="C713"/>
  <c r="D713"/>
  <c r="E713"/>
  <c r="O713" l="1"/>
  <c r="J713"/>
  <c r="M713"/>
  <c r="H713"/>
  <c r="C714"/>
  <c r="E714"/>
  <c r="D714"/>
  <c r="O714" l="1"/>
  <c r="J714"/>
  <c r="M714"/>
  <c r="H714"/>
  <c r="C715"/>
  <c r="D715"/>
  <c r="E715"/>
  <c r="O715" l="1"/>
  <c r="J715"/>
  <c r="M715"/>
  <c r="H715"/>
  <c r="C716"/>
  <c r="D716"/>
  <c r="E716"/>
  <c r="O716" l="1"/>
  <c r="J716"/>
  <c r="M716"/>
  <c r="H716"/>
  <c r="C717"/>
  <c r="E717"/>
  <c r="D717"/>
  <c r="O717" l="1"/>
  <c r="J717"/>
  <c r="M717"/>
  <c r="H717"/>
  <c r="C718"/>
  <c r="E718"/>
  <c r="D718"/>
  <c r="O718" l="1"/>
  <c r="J718"/>
  <c r="M718"/>
  <c r="H718"/>
  <c r="C719"/>
  <c r="D719"/>
  <c r="E719"/>
  <c r="O719" l="1"/>
  <c r="J719"/>
  <c r="M719"/>
  <c r="H719"/>
  <c r="C720"/>
  <c r="D720"/>
  <c r="E720"/>
  <c r="O720" l="1"/>
  <c r="J720"/>
  <c r="M720"/>
  <c r="H720"/>
  <c r="C721"/>
  <c r="E721"/>
  <c r="D721"/>
  <c r="O721" l="1"/>
  <c r="J721"/>
  <c r="M721"/>
  <c r="H721"/>
  <c r="C722"/>
  <c r="D722"/>
  <c r="E722"/>
  <c r="O722" l="1"/>
  <c r="J722"/>
  <c r="M722"/>
  <c r="H722"/>
  <c r="C723"/>
  <c r="E723"/>
  <c r="D723"/>
  <c r="O723" l="1"/>
  <c r="J723"/>
  <c r="M723"/>
  <c r="H723"/>
  <c r="C724"/>
  <c r="E724"/>
  <c r="D724"/>
  <c r="O724" l="1"/>
  <c r="J724"/>
  <c r="M724"/>
  <c r="H724"/>
  <c r="C725"/>
  <c r="D725"/>
  <c r="E725"/>
  <c r="O725" l="1"/>
  <c r="J725"/>
  <c r="M725"/>
  <c r="H725"/>
  <c r="C726"/>
  <c r="D726"/>
  <c r="E726"/>
  <c r="O726" l="1"/>
  <c r="J726"/>
  <c r="M726"/>
  <c r="H726"/>
  <c r="C727"/>
  <c r="D727"/>
  <c r="E727"/>
  <c r="O727" l="1"/>
  <c r="J727"/>
  <c r="M727"/>
  <c r="H727"/>
  <c r="C728"/>
  <c r="D728"/>
  <c r="E728"/>
  <c r="O728" l="1"/>
  <c r="J728"/>
  <c r="M728"/>
  <c r="H728"/>
  <c r="C729"/>
  <c r="D729"/>
  <c r="E729"/>
  <c r="O729" l="1"/>
  <c r="J729"/>
  <c r="M729"/>
  <c r="H729"/>
  <c r="C730"/>
  <c r="D730"/>
  <c r="E730"/>
  <c r="O730" l="1"/>
  <c r="J730"/>
  <c r="M730"/>
  <c r="H730"/>
  <c r="C731"/>
  <c r="D731"/>
  <c r="E731"/>
  <c r="O731" l="1"/>
  <c r="J731"/>
  <c r="M731"/>
  <c r="H731"/>
  <c r="C732"/>
  <c r="E732"/>
  <c r="D732"/>
  <c r="O732" l="1"/>
  <c r="J732"/>
  <c r="M732"/>
  <c r="H732"/>
  <c r="C733"/>
  <c r="D733"/>
  <c r="E733"/>
  <c r="O733" l="1"/>
  <c r="J733"/>
  <c r="M733"/>
  <c r="H733"/>
  <c r="C734"/>
  <c r="D734"/>
  <c r="E734"/>
  <c r="O734" l="1"/>
  <c r="J734"/>
  <c r="M734"/>
  <c r="H734"/>
  <c r="C735"/>
  <c r="E735"/>
  <c r="D735"/>
  <c r="O735" l="1"/>
  <c r="J735"/>
  <c r="M735"/>
  <c r="H735"/>
  <c r="C736"/>
  <c r="E736"/>
  <c r="D736"/>
  <c r="O736" l="1"/>
  <c r="J736"/>
  <c r="M736"/>
  <c r="H736"/>
  <c r="C737"/>
  <c r="D737"/>
  <c r="E737"/>
  <c r="O737" l="1"/>
  <c r="J737"/>
  <c r="M737"/>
  <c r="H737"/>
  <c r="C738"/>
  <c r="E738"/>
  <c r="D738"/>
  <c r="O738" l="1"/>
  <c r="J738"/>
  <c r="M738"/>
  <c r="H738"/>
  <c r="C739"/>
  <c r="E739"/>
  <c r="D739"/>
  <c r="O739" l="1"/>
  <c r="J739"/>
  <c r="M739"/>
  <c r="H739"/>
  <c r="C740"/>
  <c r="E740"/>
  <c r="D740"/>
  <c r="O740" l="1"/>
  <c r="J740"/>
  <c r="M740"/>
  <c r="H740"/>
  <c r="C741"/>
  <c r="E741"/>
  <c r="D741"/>
  <c r="O741" l="1"/>
  <c r="J741"/>
  <c r="M741"/>
  <c r="H741"/>
  <c r="C742"/>
  <c r="E742"/>
  <c r="D742"/>
  <c r="O742" l="1"/>
  <c r="J742"/>
  <c r="M742"/>
  <c r="H742"/>
  <c r="C743"/>
  <c r="E743"/>
  <c r="D743"/>
  <c r="O743" l="1"/>
  <c r="J743"/>
  <c r="M743"/>
  <c r="H743"/>
  <c r="C744"/>
  <c r="D744"/>
  <c r="E744"/>
  <c r="O744" l="1"/>
  <c r="J744"/>
  <c r="M744"/>
  <c r="H744"/>
  <c r="C745"/>
  <c r="D745"/>
  <c r="E745"/>
  <c r="O745" l="1"/>
  <c r="J745"/>
  <c r="M745"/>
  <c r="H745"/>
  <c r="C746"/>
  <c r="D746"/>
  <c r="E746"/>
  <c r="O746" l="1"/>
  <c r="J746"/>
  <c r="M746"/>
  <c r="H746"/>
  <c r="C747"/>
  <c r="D747"/>
  <c r="E747"/>
  <c r="O747" l="1"/>
  <c r="J747"/>
  <c r="M747"/>
  <c r="H747"/>
  <c r="C748"/>
  <c r="D748"/>
  <c r="E748"/>
  <c r="O748" l="1"/>
  <c r="J748"/>
  <c r="M748"/>
  <c r="H748"/>
  <c r="C749"/>
  <c r="D749"/>
  <c r="E749"/>
  <c r="O749" l="1"/>
  <c r="J749"/>
  <c r="M749"/>
  <c r="H749"/>
  <c r="C750"/>
  <c r="D750"/>
  <c r="E750"/>
  <c r="O750" l="1"/>
  <c r="J750"/>
  <c r="M750"/>
  <c r="H750"/>
  <c r="C751"/>
  <c r="E751"/>
  <c r="D751"/>
  <c r="O751" l="1"/>
  <c r="J751"/>
  <c r="M751"/>
  <c r="H751"/>
  <c r="C752"/>
  <c r="D752"/>
  <c r="E752"/>
  <c r="O752" l="1"/>
  <c r="J752"/>
  <c r="M752"/>
  <c r="H752"/>
  <c r="C753"/>
  <c r="E753"/>
  <c r="D753"/>
  <c r="O753" l="1"/>
  <c r="J753"/>
  <c r="M753"/>
  <c r="H753"/>
  <c r="C754"/>
  <c r="E754"/>
  <c r="D754"/>
  <c r="O754" l="1"/>
  <c r="J754"/>
  <c r="M754"/>
  <c r="H754"/>
  <c r="C755"/>
  <c r="E755"/>
  <c r="D755"/>
  <c r="O755" l="1"/>
  <c r="J755"/>
  <c r="M755"/>
  <c r="H755"/>
  <c r="C756"/>
  <c r="D756"/>
  <c r="E756"/>
  <c r="O756" l="1"/>
  <c r="J756"/>
  <c r="M756"/>
  <c r="H756"/>
  <c r="C757"/>
  <c r="D757"/>
  <c r="E757"/>
  <c r="O757" l="1"/>
  <c r="J757"/>
  <c r="M757"/>
  <c r="H757"/>
  <c r="C758"/>
  <c r="E758"/>
  <c r="D758"/>
  <c r="O758" l="1"/>
  <c r="J758"/>
  <c r="M758"/>
  <c r="H758"/>
  <c r="C759"/>
  <c r="D759"/>
  <c r="E759"/>
  <c r="O759" l="1"/>
  <c r="J759"/>
  <c r="M759"/>
  <c r="H759"/>
  <c r="C760"/>
  <c r="E760"/>
  <c r="D760"/>
  <c r="O760" l="1"/>
  <c r="J760"/>
  <c r="M760"/>
  <c r="H760"/>
  <c r="C761"/>
  <c r="D761"/>
  <c r="E761"/>
  <c r="O761" l="1"/>
  <c r="J761"/>
  <c r="M761"/>
  <c r="H761"/>
  <c r="C762"/>
  <c r="D762"/>
  <c r="E762"/>
  <c r="O762" l="1"/>
  <c r="J762"/>
  <c r="M762"/>
  <c r="H762"/>
  <c r="C763"/>
  <c r="E763"/>
  <c r="D763"/>
  <c r="O763" l="1"/>
  <c r="J763"/>
  <c r="M763"/>
  <c r="H763"/>
  <c r="C764"/>
  <c r="D764"/>
  <c r="E764"/>
  <c r="O764" l="1"/>
  <c r="J764"/>
  <c r="M764"/>
  <c r="H764"/>
  <c r="C765"/>
  <c r="D765"/>
  <c r="E765"/>
  <c r="O765" l="1"/>
  <c r="J765"/>
  <c r="M765"/>
  <c r="H765"/>
  <c r="C766"/>
  <c r="E766"/>
  <c r="D766"/>
  <c r="O766" l="1"/>
  <c r="J766"/>
  <c r="M766"/>
  <c r="H766"/>
  <c r="C767"/>
  <c r="E767"/>
  <c r="D767"/>
  <c r="O767" l="1"/>
  <c r="J767"/>
  <c r="M767"/>
  <c r="H767"/>
  <c r="C768"/>
  <c r="E768"/>
  <c r="D768"/>
  <c r="O768" l="1"/>
  <c r="J768"/>
  <c r="M768"/>
  <c r="H768"/>
  <c r="C769"/>
  <c r="E769"/>
  <c r="D769"/>
  <c r="O769" l="1"/>
  <c r="J769"/>
  <c r="M769"/>
  <c r="H769"/>
  <c r="C770"/>
  <c r="D770"/>
  <c r="E770"/>
  <c r="O770" l="1"/>
  <c r="J770"/>
  <c r="M770"/>
  <c r="H770"/>
  <c r="C771"/>
  <c r="E771"/>
  <c r="D771"/>
  <c r="O771" l="1"/>
  <c r="J771"/>
  <c r="M771"/>
  <c r="H771"/>
  <c r="C772"/>
  <c r="D772"/>
  <c r="E772"/>
  <c r="O772" l="1"/>
  <c r="J772"/>
  <c r="M772"/>
  <c r="H772"/>
  <c r="C773"/>
  <c r="D773"/>
  <c r="E773"/>
  <c r="O773" l="1"/>
  <c r="J773"/>
  <c r="M773"/>
  <c r="H773"/>
  <c r="C774"/>
  <c r="D774"/>
  <c r="E774"/>
  <c r="O774" l="1"/>
  <c r="J774"/>
  <c r="M774"/>
  <c r="H774"/>
  <c r="C775"/>
  <c r="E775"/>
  <c r="D775"/>
  <c r="O775" l="1"/>
  <c r="J775"/>
  <c r="M775"/>
  <c r="H775"/>
  <c r="C776"/>
  <c r="E776"/>
  <c r="D776"/>
  <c r="O776" l="1"/>
  <c r="J776"/>
  <c r="M776"/>
  <c r="H776"/>
  <c r="C777"/>
  <c r="E777"/>
  <c r="D777"/>
  <c r="O777" l="1"/>
  <c r="J777"/>
  <c r="M777"/>
  <c r="H777"/>
  <c r="C778"/>
  <c r="D778"/>
  <c r="E778"/>
  <c r="O778" l="1"/>
  <c r="J778"/>
  <c r="M778"/>
  <c r="H778"/>
  <c r="C779"/>
  <c r="D779"/>
  <c r="E779"/>
  <c r="O779" l="1"/>
  <c r="J779"/>
  <c r="M779"/>
  <c r="H779"/>
  <c r="C780"/>
  <c r="E780"/>
  <c r="D780"/>
  <c r="O780" l="1"/>
  <c r="J780"/>
  <c r="M780"/>
  <c r="H780"/>
  <c r="C781"/>
  <c r="E781"/>
  <c r="D781"/>
  <c r="O781" l="1"/>
  <c r="J781"/>
  <c r="M781"/>
  <c r="H781"/>
  <c r="C782"/>
  <c r="D782"/>
  <c r="E782"/>
  <c r="O782" l="1"/>
  <c r="J782"/>
  <c r="M782"/>
  <c r="H782"/>
  <c r="C783"/>
  <c r="E783"/>
  <c r="D783"/>
  <c r="O783" l="1"/>
  <c r="J783"/>
  <c r="M783"/>
  <c r="H783"/>
  <c r="C784"/>
  <c r="E784"/>
  <c r="D784"/>
  <c r="O784" l="1"/>
  <c r="J784"/>
  <c r="M784"/>
  <c r="H784"/>
  <c r="C785"/>
  <c r="D785"/>
  <c r="E785"/>
  <c r="O785" l="1"/>
  <c r="J785"/>
  <c r="M785"/>
  <c r="H785"/>
  <c r="C786"/>
  <c r="E786"/>
  <c r="D786"/>
  <c r="O786" l="1"/>
  <c r="J786"/>
  <c r="M786"/>
  <c r="H786"/>
  <c r="C787"/>
  <c r="E787"/>
  <c r="D787"/>
  <c r="O787" l="1"/>
  <c r="J787"/>
  <c r="M787"/>
  <c r="H787"/>
  <c r="C788"/>
  <c r="E788"/>
  <c r="D788"/>
  <c r="O788" l="1"/>
  <c r="J788"/>
  <c r="M788"/>
  <c r="H788"/>
  <c r="C789"/>
  <c r="D789"/>
  <c r="E789"/>
  <c r="O789" l="1"/>
  <c r="J789"/>
  <c r="M789"/>
  <c r="H789"/>
  <c r="C790"/>
  <c r="D790"/>
  <c r="E790"/>
  <c r="O790" l="1"/>
  <c r="J790"/>
  <c r="M790"/>
  <c r="H790"/>
  <c r="C791"/>
  <c r="D791"/>
  <c r="E791"/>
  <c r="O791" l="1"/>
  <c r="J791"/>
  <c r="M791"/>
  <c r="H791"/>
  <c r="C792"/>
  <c r="D792"/>
  <c r="E792"/>
  <c r="O792" l="1"/>
  <c r="J792"/>
  <c r="M792"/>
  <c r="H792"/>
  <c r="C793"/>
  <c r="D793"/>
  <c r="E793"/>
  <c r="O793" l="1"/>
  <c r="J793"/>
  <c r="M793"/>
  <c r="H793"/>
  <c r="C794"/>
  <c r="D794"/>
  <c r="E794"/>
  <c r="O794" l="1"/>
  <c r="J794"/>
  <c r="M794"/>
  <c r="H794"/>
  <c r="C795"/>
  <c r="E795"/>
  <c r="D795"/>
  <c r="O795" l="1"/>
  <c r="J795"/>
  <c r="M795"/>
  <c r="H795"/>
  <c r="C796"/>
  <c r="D796"/>
  <c r="E796"/>
  <c r="O796" l="1"/>
  <c r="J796"/>
  <c r="M796"/>
  <c r="H796"/>
  <c r="C797"/>
  <c r="E797"/>
  <c r="D797"/>
  <c r="O797" l="1"/>
  <c r="J797"/>
  <c r="M797"/>
  <c r="H797"/>
  <c r="C798"/>
  <c r="D798"/>
  <c r="E798"/>
  <c r="O798" l="1"/>
  <c r="J798"/>
  <c r="M798"/>
  <c r="H798"/>
  <c r="C799"/>
  <c r="D799"/>
  <c r="E799"/>
  <c r="O799" l="1"/>
  <c r="J799"/>
  <c r="M799"/>
  <c r="H799"/>
  <c r="C800"/>
  <c r="D800"/>
  <c r="E800"/>
  <c r="O800" l="1"/>
  <c r="J800"/>
  <c r="M800"/>
  <c r="H800"/>
  <c r="C801"/>
  <c r="D801"/>
  <c r="E801"/>
  <c r="O801" l="1"/>
  <c r="J801"/>
  <c r="M801"/>
  <c r="H801"/>
  <c r="C802"/>
  <c r="D802"/>
  <c r="E802"/>
  <c r="O802" l="1"/>
  <c r="J802"/>
  <c r="M802"/>
  <c r="H802"/>
  <c r="C803"/>
  <c r="D803"/>
  <c r="E803"/>
  <c r="O803" l="1"/>
  <c r="J803"/>
  <c r="M803"/>
  <c r="H803"/>
  <c r="C804"/>
  <c r="E804"/>
  <c r="D804"/>
  <c r="O804" l="1"/>
  <c r="J804"/>
  <c r="M804"/>
  <c r="H804"/>
  <c r="C805"/>
  <c r="E805"/>
  <c r="D805"/>
  <c r="O805" l="1"/>
  <c r="J805"/>
  <c r="M805"/>
  <c r="H805"/>
  <c r="C806"/>
  <c r="E806"/>
  <c r="D806"/>
  <c r="O806" l="1"/>
  <c r="J806"/>
  <c r="M806"/>
  <c r="H806"/>
  <c r="C807"/>
  <c r="E807"/>
  <c r="D807"/>
  <c r="O807" l="1"/>
  <c r="J807"/>
  <c r="M807"/>
  <c r="H807"/>
  <c r="C808"/>
  <c r="E808"/>
  <c r="D808"/>
  <c r="O808" l="1"/>
  <c r="J808"/>
  <c r="M808"/>
  <c r="H808"/>
  <c r="C809"/>
  <c r="E809"/>
  <c r="D809"/>
  <c r="O809" l="1"/>
  <c r="J809"/>
  <c r="M809"/>
  <c r="H809"/>
  <c r="C810"/>
  <c r="E810"/>
  <c r="D810"/>
  <c r="O810" l="1"/>
  <c r="J810"/>
  <c r="M810"/>
  <c r="H810"/>
  <c r="C811"/>
  <c r="E811"/>
  <c r="D811"/>
  <c r="O811" l="1"/>
  <c r="J811"/>
  <c r="M811"/>
  <c r="H811"/>
  <c r="C812"/>
  <c r="E812"/>
  <c r="D812"/>
  <c r="O812" l="1"/>
  <c r="J812"/>
  <c r="M812"/>
  <c r="H812"/>
  <c r="C813"/>
  <c r="E813"/>
  <c r="D813"/>
  <c r="O813" l="1"/>
  <c r="J813"/>
  <c r="M813"/>
  <c r="H813"/>
  <c r="C814"/>
  <c r="E814"/>
  <c r="D814"/>
  <c r="O814" l="1"/>
  <c r="J814"/>
  <c r="M814"/>
  <c r="H814"/>
  <c r="C815"/>
  <c r="E815"/>
  <c r="D815"/>
  <c r="O815" l="1"/>
  <c r="J815"/>
  <c r="M815"/>
  <c r="H815"/>
  <c r="C816"/>
  <c r="E816"/>
  <c r="D816"/>
  <c r="O816" l="1"/>
  <c r="J816"/>
  <c r="M816"/>
  <c r="H816"/>
  <c r="C817"/>
  <c r="E817"/>
  <c r="D817"/>
  <c r="O817" l="1"/>
  <c r="J817"/>
  <c r="M817"/>
  <c r="H817"/>
  <c r="C818"/>
  <c r="D818"/>
  <c r="E818"/>
  <c r="O818" l="1"/>
  <c r="J818"/>
  <c r="M818"/>
  <c r="H818"/>
  <c r="C819"/>
  <c r="E819"/>
  <c r="D819"/>
  <c r="O819" l="1"/>
  <c r="J819"/>
  <c r="M819"/>
  <c r="H819"/>
  <c r="C820"/>
  <c r="D820"/>
  <c r="E820"/>
  <c r="O820" l="1"/>
  <c r="J820"/>
  <c r="M820"/>
  <c r="H820"/>
  <c r="C821"/>
  <c r="D821"/>
  <c r="E821"/>
  <c r="O821" l="1"/>
  <c r="J821"/>
  <c r="M821"/>
  <c r="H821"/>
  <c r="C822"/>
  <c r="D822"/>
  <c r="E822"/>
  <c r="O822" l="1"/>
  <c r="J822"/>
  <c r="M822"/>
  <c r="H822"/>
  <c r="C823"/>
  <c r="D823"/>
  <c r="E823"/>
  <c r="O823" l="1"/>
  <c r="J823"/>
  <c r="M823"/>
  <c r="H823"/>
  <c r="C824"/>
  <c r="E824"/>
  <c r="D824"/>
  <c r="O824" l="1"/>
  <c r="J824"/>
  <c r="M824"/>
  <c r="H824"/>
  <c r="C825"/>
  <c r="E825"/>
  <c r="D825"/>
  <c r="O825" l="1"/>
  <c r="J825"/>
  <c r="M825"/>
  <c r="H825"/>
  <c r="C826"/>
  <c r="D826"/>
  <c r="E826"/>
  <c r="O826" l="1"/>
  <c r="J826"/>
  <c r="M826"/>
  <c r="H826"/>
  <c r="C827"/>
  <c r="D827"/>
  <c r="E827"/>
  <c r="O827" l="1"/>
  <c r="J827"/>
  <c r="M827"/>
  <c r="H827"/>
  <c r="C828"/>
  <c r="E828"/>
  <c r="D828"/>
  <c r="O828" l="1"/>
  <c r="J828"/>
  <c r="M828"/>
  <c r="H828"/>
  <c r="C829"/>
  <c r="D829"/>
  <c r="E829"/>
  <c r="O829" l="1"/>
  <c r="J829"/>
  <c r="M829"/>
  <c r="H829"/>
  <c r="C830"/>
  <c r="D830"/>
  <c r="E830"/>
  <c r="O830" l="1"/>
  <c r="J830"/>
  <c r="M830"/>
  <c r="H830"/>
  <c r="C831"/>
  <c r="D831"/>
  <c r="E831"/>
  <c r="O831" l="1"/>
  <c r="J831"/>
  <c r="M831"/>
  <c r="H831"/>
  <c r="D832"/>
  <c r="C832"/>
  <c r="E832" s="1"/>
  <c r="O832" l="1"/>
  <c r="J832"/>
  <c r="M832"/>
  <c r="H832"/>
  <c r="C833"/>
  <c r="D833"/>
  <c r="E833"/>
  <c r="O833" l="1"/>
  <c r="J833"/>
  <c r="M833"/>
  <c r="H833"/>
  <c r="D834"/>
  <c r="C834"/>
  <c r="E834" s="1"/>
  <c r="O834" l="1"/>
  <c r="J834"/>
  <c r="M834"/>
  <c r="H834"/>
  <c r="C835"/>
  <c r="E835" s="1"/>
  <c r="D835"/>
  <c r="O835" l="1"/>
  <c r="J835"/>
  <c r="M835"/>
  <c r="H835"/>
  <c r="C836"/>
  <c r="D836"/>
  <c r="E836"/>
  <c r="O836" l="1"/>
  <c r="J836"/>
  <c r="M836"/>
  <c r="H836"/>
  <c r="D837"/>
  <c r="C837"/>
  <c r="E837"/>
  <c r="O837" l="1"/>
  <c r="J837"/>
  <c r="M837"/>
  <c r="H837"/>
  <c r="C838"/>
  <c r="E838" s="1"/>
  <c r="D838"/>
  <c r="O838" l="1"/>
  <c r="J838"/>
  <c r="M838"/>
  <c r="H838"/>
  <c r="C839"/>
  <c r="D839"/>
  <c r="E839"/>
  <c r="O839" l="1"/>
  <c r="J839"/>
  <c r="M839"/>
  <c r="H839"/>
  <c r="D840"/>
  <c r="C840"/>
  <c r="E840" s="1"/>
  <c r="O840" l="1"/>
  <c r="J840"/>
  <c r="M840"/>
  <c r="H840"/>
  <c r="C841"/>
  <c r="D841"/>
  <c r="E841"/>
  <c r="O841" l="1"/>
  <c r="J841"/>
  <c r="M841"/>
  <c r="H841"/>
  <c r="D842"/>
  <c r="C842"/>
  <c r="E842" s="1"/>
  <c r="O842" l="1"/>
  <c r="J842"/>
  <c r="M842"/>
  <c r="H842"/>
  <c r="C843"/>
  <c r="D843"/>
  <c r="E843"/>
  <c r="O843" l="1"/>
  <c r="J843"/>
  <c r="M843"/>
  <c r="H843"/>
  <c r="D844"/>
  <c r="C844"/>
  <c r="E844" s="1"/>
  <c r="O844" l="1"/>
  <c r="J844"/>
  <c r="M844"/>
  <c r="H844"/>
  <c r="C845"/>
  <c r="D845"/>
  <c r="E845"/>
  <c r="O845" l="1"/>
  <c r="J845"/>
  <c r="M845"/>
  <c r="H845"/>
  <c r="C846"/>
  <c r="E846"/>
  <c r="D846"/>
  <c r="O846" l="1"/>
  <c r="J846"/>
  <c r="M846"/>
  <c r="H846"/>
  <c r="C847"/>
  <c r="D847"/>
  <c r="E847"/>
  <c r="O847" l="1"/>
  <c r="J847"/>
  <c r="M847"/>
  <c r="H847"/>
  <c r="C848"/>
  <c r="D848"/>
  <c r="E848"/>
  <c r="O848" l="1"/>
  <c r="J848"/>
  <c r="M848"/>
  <c r="H848"/>
  <c r="C849"/>
  <c r="D849"/>
  <c r="E849"/>
  <c r="O849" l="1"/>
  <c r="J849"/>
  <c r="M849"/>
  <c r="H849"/>
  <c r="C850"/>
  <c r="D850"/>
  <c r="E850"/>
  <c r="D19" s="1"/>
  <c r="O850" l="1"/>
  <c r="J850"/>
  <c r="M850"/>
  <c r="H850"/>
</calcChain>
</file>

<file path=xl/sharedStrings.xml><?xml version="1.0" encoding="utf-8"?>
<sst xmlns="http://schemas.openxmlformats.org/spreadsheetml/2006/main" count="94" uniqueCount="62">
  <si>
    <t>S</t>
  </si>
  <si>
    <r>
      <t xml:space="preserve">After 1 round: </t>
    </r>
    <r>
      <rPr>
        <b/>
        <sz val="11"/>
        <color theme="1"/>
        <rFont val="Calibri"/>
        <family val="2"/>
        <scheme val="minor"/>
      </rPr>
      <t>W</t>
    </r>
    <r>
      <rPr>
        <b/>
        <vertAlign val="subscript"/>
        <sz val="11"/>
        <color theme="1"/>
        <rFont val="Calibri"/>
        <family val="2"/>
        <scheme val="minor"/>
      </rPr>
      <t>1</t>
    </r>
  </si>
  <si>
    <t>A</t>
  </si>
  <si>
    <t>B</t>
  </si>
  <si>
    <t>F</t>
  </si>
  <si>
    <t>E</t>
  </si>
  <si>
    <t>D</t>
  </si>
  <si>
    <t>C</t>
  </si>
  <si>
    <t>S-Boxes Used</t>
  </si>
  <si>
    <t>Note: first row never changes from:</t>
  </si>
  <si>
    <r>
      <t>Y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⊕ Y</t>
    </r>
    <r>
      <rPr>
        <vertAlign val="subscript"/>
        <sz val="11"/>
        <color theme="1"/>
        <rFont val="Calibri"/>
        <family val="2"/>
        <scheme val="minor"/>
      </rPr>
      <t>2</t>
    </r>
  </si>
  <si>
    <t>X₂</t>
  </si>
  <si>
    <t>X₁ ⊕ X₂</t>
  </si>
  <si>
    <t>X₁</t>
  </si>
  <si>
    <t>Y₁</t>
  </si>
  <si>
    <t>Y₂</t>
  </si>
  <si>
    <t>Y₁ ⊕ Y₂</t>
  </si>
  <si>
    <t>Calculation for row "B" (B in hex is 1011 in binary):</t>
  </si>
  <si>
    <t>X =</t>
  </si>
  <si>
    <t xml:space="preserve">S(X) = </t>
  </si>
  <si>
    <t>Step 1: Compute Difference Distribution Table</t>
  </si>
  <si>
    <t>Input XOR</t>
  </si>
  <si>
    <t>Likeliest (Y₁ ⊕ Y₂)</t>
  </si>
  <si>
    <t>Prob. of that (Y₁ ⊕ Y₂)</t>
  </si>
  <si>
    <t>Count of likeliest (Y₁ ⊕ Y₂)</t>
  </si>
  <si>
    <r>
      <t xml:space="preserve">After 2 rounds: </t>
    </r>
    <r>
      <rPr>
        <b/>
        <sz val="11"/>
        <color theme="1"/>
        <rFont val="Calibri"/>
        <family val="2"/>
        <scheme val="minor"/>
      </rPr>
      <t>W</t>
    </r>
    <r>
      <rPr>
        <b/>
        <vertAlign val="subscript"/>
        <sz val="11"/>
        <color theme="1"/>
        <rFont val="Calibri"/>
        <family val="2"/>
        <scheme val="minor"/>
      </rPr>
      <t>2</t>
    </r>
  </si>
  <si>
    <t>K₂</t>
  </si>
  <si>
    <t>K₁</t>
  </si>
  <si>
    <t>K₃</t>
  </si>
  <si>
    <r>
      <t xml:space="preserve">After 3 rounds: </t>
    </r>
    <r>
      <rPr>
        <b/>
        <sz val="11"/>
        <color theme="1"/>
        <rFont val="Calibri"/>
        <family val="2"/>
        <scheme val="minor"/>
      </rPr>
      <t>W₃</t>
    </r>
  </si>
  <si>
    <t>K₄</t>
  </si>
  <si>
    <t>U₄</t>
  </si>
  <si>
    <t>K₅</t>
  </si>
  <si>
    <t>U₃</t>
  </si>
  <si>
    <t>U₂</t>
  </si>
  <si>
    <t>U₁</t>
  </si>
  <si>
    <t>V₂</t>
  </si>
  <si>
    <t>V₃</t>
  </si>
  <si>
    <t>V₁</t>
  </si>
  <si>
    <t>(Contrast with 2⁻¹⁶ = 0.00153% assuming equidistribution)</t>
  </si>
  <si>
    <t>Book's example is E 4 D 1 2 F B 8 3 A 6 C 5 9 0 7</t>
  </si>
  <si>
    <r>
      <t xml:space="preserve">                          Y₁ ⊕ Y₂</t>
    </r>
    <r>
      <rPr>
        <sz val="12"/>
        <color theme="1" tint="0.249977111117893"/>
        <rFont val="Calibri"/>
        <family val="2"/>
        <scheme val="minor"/>
      </rPr>
      <t xml:space="preserve"> (the ciphertext)</t>
    </r>
  </si>
  <si>
    <t>Step 2: Determine most likely U₄
for your chosen plaintext XOR pairs</t>
  </si>
  <si>
    <t>Differential Cryptanalysis Example</t>
  </si>
  <si>
    <t>V₄</t>
  </si>
  <si>
    <r>
      <t xml:space="preserve">Chosen plaintext XOR:  </t>
    </r>
    <r>
      <rPr>
        <b/>
        <sz val="11"/>
        <color theme="1"/>
        <rFont val="Calibri"/>
        <family val="2"/>
        <scheme val="minor"/>
      </rPr>
      <t>X₁ ⊕ X₂</t>
    </r>
  </si>
  <si>
    <t>Chosen value of X₁ ⊕ X₂:</t>
  </si>
  <si>
    <t>Key Schedule Used to Encrypt</t>
  </si>
  <si>
    <t>Generating Chosen Plaintext-Ciphertext Pairs</t>
  </si>
  <si>
    <t>S-Boxes Used to Encrypt</t>
  </si>
  <si>
    <t>Permutation Used to Encrypt</t>
  </si>
  <si>
    <t>Chosen value of U₁ ⊕ U₂:</t>
  </si>
  <si>
    <t>3A94</t>
  </si>
  <si>
    <t>A94D</t>
  </si>
  <si>
    <t>94D6</t>
  </si>
  <si>
    <t>4D63</t>
  </si>
  <si>
    <t>BCD6</t>
  </si>
  <si>
    <t>Check:</t>
  </si>
  <si>
    <t>Book's example is 0 4 8 12 1 5 9 13 2 6 10 14 3 7 11 15</t>
  </si>
  <si>
    <t>Book's example is 0000 1011 0000 0000</t>
  </si>
  <si>
    <t>72A4</t>
  </si>
  <si>
    <t>by Braden MacDonald</t>
  </si>
</sst>
</file>

<file path=xl/styles.xml><?xml version="1.0" encoding="utf-8"?>
<styleSheet xmlns="http://schemas.openxmlformats.org/spreadsheetml/2006/main">
  <numFmts count="1">
    <numFmt numFmtId="164" formatCode="0.00000%"/>
  </numFmts>
  <fonts count="2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sz val="14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2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1" fillId="0" borderId="3" xfId="0" applyFont="1" applyBorder="1"/>
    <xf numFmtId="0" fontId="0" fillId="0" borderId="3" xfId="0" applyBorder="1"/>
    <xf numFmtId="0" fontId="1" fillId="0" borderId="2" xfId="0" applyFont="1" applyBorder="1"/>
    <xf numFmtId="0" fontId="1" fillId="0" borderId="11" xfId="0" applyFont="1" applyBorder="1"/>
    <xf numFmtId="0" fontId="0" fillId="0" borderId="11" xfId="0" applyBorder="1"/>
    <xf numFmtId="9" fontId="0" fillId="0" borderId="0" xfId="1" applyFont="1"/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0" fillId="0" borderId="0" xfId="0" applyAlignment="1">
      <alignment horizontal="right" vertical="top"/>
    </xf>
    <xf numFmtId="0" fontId="1" fillId="0" borderId="0" xfId="0" applyFont="1"/>
    <xf numFmtId="164" fontId="0" fillId="0" borderId="0" xfId="1" applyNumberFormat="1" applyFont="1"/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/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15" fillId="4" borderId="0" xfId="0" applyFont="1" applyFill="1" applyBorder="1" applyAlignment="1">
      <alignment horizontal="right"/>
    </xf>
    <xf numFmtId="0" fontId="15" fillId="4" borderId="0" xfId="0" applyFont="1" applyFill="1" applyBorder="1"/>
    <xf numFmtId="0" fontId="15" fillId="4" borderId="0" xfId="0" applyFont="1" applyFill="1" applyBorder="1" applyAlignment="1">
      <alignment horizontal="center" vertical="center"/>
    </xf>
    <xf numFmtId="0" fontId="15" fillId="4" borderId="0" xfId="0" applyFont="1" applyFill="1"/>
    <xf numFmtId="0" fontId="17" fillId="4" borderId="2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7" fillId="4" borderId="4" xfId="0" applyFont="1" applyFill="1" applyBorder="1" applyAlignment="1">
      <alignment horizontal="center" vertical="center"/>
    </xf>
    <xf numFmtId="0" fontId="17" fillId="4" borderId="8" xfId="0" applyFont="1" applyFill="1" applyBorder="1" applyAlignment="1" applyProtection="1">
      <alignment horizontal="center" vertical="center"/>
      <protection locked="0"/>
    </xf>
    <xf numFmtId="0" fontId="17" fillId="4" borderId="9" xfId="0" applyFont="1" applyFill="1" applyBorder="1" applyAlignment="1" applyProtection="1">
      <alignment horizontal="center" vertical="center"/>
      <protection locked="0"/>
    </xf>
    <xf numFmtId="0" fontId="17" fillId="4" borderId="10" xfId="0" applyFont="1" applyFill="1" applyBorder="1" applyAlignment="1" applyProtection="1">
      <alignment horizontal="center" vertical="center"/>
      <protection locked="0"/>
    </xf>
    <xf numFmtId="0" fontId="15" fillId="4" borderId="9" xfId="0" applyFont="1" applyFill="1" applyBorder="1" applyAlignment="1">
      <alignment horizontal="right"/>
    </xf>
    <xf numFmtId="0" fontId="15" fillId="4" borderId="9" xfId="0" applyFont="1" applyFill="1" applyBorder="1"/>
    <xf numFmtId="0" fontId="15" fillId="4" borderId="9" xfId="0" applyFont="1" applyFill="1" applyBorder="1" applyAlignment="1">
      <alignment horizontal="center" vertical="center"/>
    </xf>
    <xf numFmtId="0" fontId="19" fillId="4" borderId="0" xfId="0" applyFont="1" applyFill="1" applyBorder="1" applyAlignment="1">
      <alignment horizontal="left"/>
    </xf>
    <xf numFmtId="0" fontId="18" fillId="4" borderId="0" xfId="0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0" fillId="0" borderId="0" xfId="0" applyFont="1" applyAlignment="1">
      <alignment horizontal="left"/>
    </xf>
    <xf numFmtId="0" fontId="2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5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Fill="1" applyBorder="1"/>
    <xf numFmtId="0" fontId="15" fillId="0" borderId="0" xfId="0" applyFont="1" applyFill="1" applyBorder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25" fillId="4" borderId="8" xfId="0" applyFont="1" applyFill="1" applyBorder="1" applyAlignment="1" applyProtection="1">
      <alignment horizontal="center" vertical="center"/>
      <protection locked="0"/>
    </xf>
    <xf numFmtId="0" fontId="25" fillId="4" borderId="9" xfId="0" applyFont="1" applyFill="1" applyBorder="1" applyAlignment="1" applyProtection="1">
      <alignment horizontal="center" vertical="center"/>
      <protection locked="0"/>
    </xf>
    <xf numFmtId="0" fontId="25" fillId="4" borderId="10" xfId="0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27" fillId="0" borderId="0" xfId="0" applyFont="1" applyFill="1" applyBorder="1"/>
    <xf numFmtId="0" fontId="26" fillId="0" borderId="0" xfId="0" applyFont="1" applyFill="1" applyBorder="1"/>
    <xf numFmtId="0" fontId="26" fillId="0" borderId="0" xfId="0" applyFont="1" applyBorder="1"/>
    <xf numFmtId="0" fontId="18" fillId="4" borderId="0" xfId="0" applyFont="1" applyFill="1" applyBorder="1" applyAlignment="1" applyProtection="1">
      <alignment horizontal="left"/>
    </xf>
    <xf numFmtId="0" fontId="15" fillId="4" borderId="0" xfId="0" applyFont="1" applyFill="1" applyBorder="1" applyProtection="1"/>
    <xf numFmtId="0" fontId="15" fillId="4" borderId="0" xfId="0" applyFont="1" applyFill="1" applyBorder="1" applyAlignment="1" applyProtection="1">
      <alignment horizontal="center" vertical="center"/>
    </xf>
    <xf numFmtId="0" fontId="19" fillId="4" borderId="0" xfId="0" applyFont="1" applyFill="1" applyBorder="1" applyAlignment="1" applyProtection="1">
      <alignment horizontal="left"/>
    </xf>
    <xf numFmtId="0" fontId="17" fillId="4" borderId="2" xfId="0" applyFont="1" applyFill="1" applyBorder="1" applyAlignment="1" applyProtection="1">
      <alignment horizontal="center" vertical="center"/>
    </xf>
    <xf numFmtId="0" fontId="17" fillId="4" borderId="1" xfId="0" applyFont="1" applyFill="1" applyBorder="1" applyAlignment="1" applyProtection="1">
      <alignment horizontal="center" vertical="center"/>
    </xf>
    <xf numFmtId="0" fontId="17" fillId="4" borderId="4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right"/>
    </xf>
    <xf numFmtId="0" fontId="15" fillId="4" borderId="0" xfId="0" applyFont="1" applyFill="1" applyBorder="1" applyAlignment="1" applyProtection="1">
      <alignment horizontal="center"/>
    </xf>
    <xf numFmtId="0" fontId="17" fillId="4" borderId="0" xfId="0" applyFont="1" applyFill="1" applyBorder="1" applyAlignment="1" applyProtection="1">
      <alignment horizontal="center" vertical="center"/>
    </xf>
    <xf numFmtId="0" fontId="25" fillId="4" borderId="2" xfId="0" applyFont="1" applyFill="1" applyBorder="1" applyAlignment="1" applyProtection="1">
      <alignment horizontal="center" vertical="center"/>
    </xf>
    <xf numFmtId="0" fontId="25" fillId="4" borderId="1" xfId="0" applyFont="1" applyFill="1" applyBorder="1" applyAlignment="1" applyProtection="1">
      <alignment horizontal="center" vertical="center"/>
    </xf>
    <xf numFmtId="0" fontId="25" fillId="4" borderId="4" xfId="0" applyFont="1" applyFill="1" applyBorder="1" applyAlignment="1" applyProtection="1">
      <alignment horizontal="center" vertical="center"/>
    </xf>
    <xf numFmtId="0" fontId="16" fillId="4" borderId="0" xfId="0" applyFont="1" applyFill="1" applyBorder="1" applyAlignment="1" applyProtection="1">
      <alignment horizontal="center" vertical="center"/>
    </xf>
    <xf numFmtId="0" fontId="21" fillId="4" borderId="0" xfId="0" applyFont="1" applyFill="1" applyBorder="1" applyProtection="1"/>
    <xf numFmtId="0" fontId="23" fillId="0" borderId="0" xfId="0" applyFont="1" applyAlignment="1" applyProtection="1">
      <alignment horizontal="left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5" fillId="4" borderId="12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16" fillId="4" borderId="0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/>
    </xf>
    <xf numFmtId="0" fontId="15" fillId="4" borderId="12" xfId="0" applyFont="1" applyFill="1" applyBorder="1" applyAlignment="1" applyProtection="1">
      <alignment horizontal="center"/>
    </xf>
    <xf numFmtId="0" fontId="24" fillId="0" borderId="0" xfId="0" applyFont="1" applyFill="1" applyBorder="1" applyAlignment="1" applyProtection="1">
      <alignment horizontal="center" vertical="center"/>
      <protection locked="0"/>
    </xf>
    <xf numFmtId="0" fontId="17" fillId="4" borderId="0" xfId="0" applyFont="1" applyFill="1" applyBorder="1" applyAlignment="1" applyProtection="1">
      <alignment horizontal="center" vertical="center"/>
      <protection locked="0"/>
    </xf>
    <xf numFmtId="0" fontId="17" fillId="4" borderId="0" xfId="0" applyFont="1" applyFill="1" applyBorder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</cellXfs>
  <cellStyles count="2">
    <cellStyle name="Normal" xfId="0" builtinId="0"/>
    <cellStyle name="Percent" xfId="1" builtinId="5"/>
  </cellStyles>
  <dxfs count="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  <fill>
        <patternFill patternType="solid">
          <bgColor theme="5" tint="0.7999816888943144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0" tint="-0.499984740745262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34</xdr:row>
      <xdr:rowOff>0</xdr:rowOff>
    </xdr:from>
    <xdr:to>
      <xdr:col>2</xdr:col>
      <xdr:colOff>114300</xdr:colOff>
      <xdr:row>34</xdr:row>
      <xdr:rowOff>561975</xdr:rowOff>
    </xdr:to>
    <xdr:cxnSp macro="">
      <xdr:nvCxnSpPr>
        <xdr:cNvPr id="7" name="Straight Connector 6"/>
        <xdr:cNvCxnSpPr/>
      </xdr:nvCxnSpPr>
      <xdr:spPr>
        <a:xfrm>
          <a:off x="3790950" y="1447800"/>
          <a:ext cx="0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121285</xdr:colOff>
      <xdr:row>34</xdr:row>
      <xdr:rowOff>0</xdr:rowOff>
    </xdr:from>
    <xdr:to>
      <xdr:col>7</xdr:col>
      <xdr:colOff>114300</xdr:colOff>
      <xdr:row>34</xdr:row>
      <xdr:rowOff>552450</xdr:rowOff>
    </xdr:to>
    <xdr:cxnSp macro="">
      <xdr:nvCxnSpPr>
        <xdr:cNvPr id="8" name="Straight Connector 7"/>
        <xdr:cNvCxnSpPr/>
      </xdr:nvCxnSpPr>
      <xdr:spPr>
        <a:xfrm>
          <a:off x="4017010" y="1447800"/>
          <a:ext cx="869315" cy="55245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128270</xdr:colOff>
      <xdr:row>34</xdr:row>
      <xdr:rowOff>0</xdr:rowOff>
    </xdr:from>
    <xdr:to>
      <xdr:col>12</xdr:col>
      <xdr:colOff>104775</xdr:colOff>
      <xdr:row>35</xdr:row>
      <xdr:rowOff>0</xdr:rowOff>
    </xdr:to>
    <xdr:cxnSp macro="">
      <xdr:nvCxnSpPr>
        <xdr:cNvPr id="9" name="Straight Connector 8"/>
        <xdr:cNvCxnSpPr/>
      </xdr:nvCxnSpPr>
      <xdr:spPr>
        <a:xfrm>
          <a:off x="4243070" y="1447800"/>
          <a:ext cx="1729105" cy="5715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135255</xdr:colOff>
      <xdr:row>34</xdr:row>
      <xdr:rowOff>0</xdr:rowOff>
    </xdr:from>
    <xdr:to>
      <xdr:col>17</xdr:col>
      <xdr:colOff>104775</xdr:colOff>
      <xdr:row>34</xdr:row>
      <xdr:rowOff>552450</xdr:rowOff>
    </xdr:to>
    <xdr:cxnSp macro="">
      <xdr:nvCxnSpPr>
        <xdr:cNvPr id="10" name="Straight Connector 9"/>
        <xdr:cNvCxnSpPr/>
      </xdr:nvCxnSpPr>
      <xdr:spPr>
        <a:xfrm>
          <a:off x="4469130" y="1447800"/>
          <a:ext cx="2598420" cy="55245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133350</xdr:colOff>
      <xdr:row>34</xdr:row>
      <xdr:rowOff>0</xdr:rowOff>
    </xdr:from>
    <xdr:to>
      <xdr:col>7</xdr:col>
      <xdr:colOff>113665</xdr:colOff>
      <xdr:row>35</xdr:row>
      <xdr:rowOff>0</xdr:rowOff>
    </xdr:to>
    <xdr:cxnSp macro="">
      <xdr:nvCxnSpPr>
        <xdr:cNvPr id="11" name="Straight Connector 10"/>
        <xdr:cNvCxnSpPr/>
      </xdr:nvCxnSpPr>
      <xdr:spPr>
        <a:xfrm flipH="1">
          <a:off x="4029075" y="1447800"/>
          <a:ext cx="856615" cy="5715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34</xdr:row>
      <xdr:rowOff>0</xdr:rowOff>
    </xdr:from>
    <xdr:to>
      <xdr:col>8</xdr:col>
      <xdr:colOff>111125</xdr:colOff>
      <xdr:row>34</xdr:row>
      <xdr:rowOff>561975</xdr:rowOff>
    </xdr:to>
    <xdr:cxnSp macro="">
      <xdr:nvCxnSpPr>
        <xdr:cNvPr id="12" name="Straight Connector 11"/>
        <xdr:cNvCxnSpPr/>
      </xdr:nvCxnSpPr>
      <xdr:spPr>
        <a:xfrm>
          <a:off x="5102225" y="1447800"/>
          <a:ext cx="0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108585</xdr:colOff>
      <xdr:row>34</xdr:row>
      <xdr:rowOff>0</xdr:rowOff>
    </xdr:from>
    <xdr:to>
      <xdr:col>13</xdr:col>
      <xdr:colOff>114300</xdr:colOff>
      <xdr:row>34</xdr:row>
      <xdr:rowOff>552450</xdr:rowOff>
    </xdr:to>
    <xdr:cxnSp macro="">
      <xdr:nvCxnSpPr>
        <xdr:cNvPr id="13" name="Straight Connector 12"/>
        <xdr:cNvCxnSpPr/>
      </xdr:nvCxnSpPr>
      <xdr:spPr>
        <a:xfrm>
          <a:off x="5318760" y="1447800"/>
          <a:ext cx="882015" cy="55245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106045</xdr:colOff>
      <xdr:row>34</xdr:row>
      <xdr:rowOff>9525</xdr:rowOff>
    </xdr:from>
    <xdr:to>
      <xdr:col>18</xdr:col>
      <xdr:colOff>104775</xdr:colOff>
      <xdr:row>34</xdr:row>
      <xdr:rowOff>561975</xdr:rowOff>
    </xdr:to>
    <xdr:cxnSp macro="">
      <xdr:nvCxnSpPr>
        <xdr:cNvPr id="14" name="Straight Connector 13"/>
        <xdr:cNvCxnSpPr/>
      </xdr:nvCxnSpPr>
      <xdr:spPr>
        <a:xfrm>
          <a:off x="5535295" y="1457325"/>
          <a:ext cx="1751330" cy="55245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34</xdr:row>
      <xdr:rowOff>0</xdr:rowOff>
    </xdr:from>
    <xdr:to>
      <xdr:col>12</xdr:col>
      <xdr:colOff>113030</xdr:colOff>
      <xdr:row>35</xdr:row>
      <xdr:rowOff>0</xdr:rowOff>
    </xdr:to>
    <xdr:cxnSp macro="">
      <xdr:nvCxnSpPr>
        <xdr:cNvPr id="15" name="Straight Connector 14"/>
        <xdr:cNvCxnSpPr/>
      </xdr:nvCxnSpPr>
      <xdr:spPr>
        <a:xfrm flipH="1">
          <a:off x="4248150" y="1447800"/>
          <a:ext cx="1732280" cy="5715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104775</xdr:colOff>
      <xdr:row>34</xdr:row>
      <xdr:rowOff>0</xdr:rowOff>
    </xdr:from>
    <xdr:to>
      <xdr:col>13</xdr:col>
      <xdr:colOff>116841</xdr:colOff>
      <xdr:row>35</xdr:row>
      <xdr:rowOff>0</xdr:rowOff>
    </xdr:to>
    <xdr:cxnSp macro="">
      <xdr:nvCxnSpPr>
        <xdr:cNvPr id="16" name="Straight Connector 15"/>
        <xdr:cNvCxnSpPr/>
      </xdr:nvCxnSpPr>
      <xdr:spPr>
        <a:xfrm flipH="1">
          <a:off x="5314950" y="1447800"/>
          <a:ext cx="888366" cy="5715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120650</xdr:colOff>
      <xdr:row>34</xdr:row>
      <xdr:rowOff>0</xdr:rowOff>
    </xdr:from>
    <xdr:to>
      <xdr:col>14</xdr:col>
      <xdr:colOff>120650</xdr:colOff>
      <xdr:row>34</xdr:row>
      <xdr:rowOff>561975</xdr:rowOff>
    </xdr:to>
    <xdr:cxnSp macro="">
      <xdr:nvCxnSpPr>
        <xdr:cNvPr id="17" name="Straight Connector 16"/>
        <xdr:cNvCxnSpPr/>
      </xdr:nvCxnSpPr>
      <xdr:spPr>
        <a:xfrm>
          <a:off x="6426200" y="1447800"/>
          <a:ext cx="0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124460</xdr:colOff>
      <xdr:row>34</xdr:row>
      <xdr:rowOff>0</xdr:rowOff>
    </xdr:from>
    <xdr:to>
      <xdr:col>19</xdr:col>
      <xdr:colOff>133350</xdr:colOff>
      <xdr:row>34</xdr:row>
      <xdr:rowOff>561975</xdr:rowOff>
    </xdr:to>
    <xdr:cxnSp macro="">
      <xdr:nvCxnSpPr>
        <xdr:cNvPr id="18" name="Straight Connector 17"/>
        <xdr:cNvCxnSpPr/>
      </xdr:nvCxnSpPr>
      <xdr:spPr>
        <a:xfrm>
          <a:off x="6649085" y="1447800"/>
          <a:ext cx="885190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85725</xdr:colOff>
      <xdr:row>34</xdr:row>
      <xdr:rowOff>9525</xdr:rowOff>
    </xdr:from>
    <xdr:to>
      <xdr:col>17</xdr:col>
      <xdr:colOff>112397</xdr:colOff>
      <xdr:row>35</xdr:row>
      <xdr:rowOff>0</xdr:rowOff>
    </xdr:to>
    <xdr:cxnSp macro="">
      <xdr:nvCxnSpPr>
        <xdr:cNvPr id="19" name="Straight Connector 18"/>
        <xdr:cNvCxnSpPr/>
      </xdr:nvCxnSpPr>
      <xdr:spPr>
        <a:xfrm flipH="1">
          <a:off x="4419600" y="1457325"/>
          <a:ext cx="2655572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34</xdr:row>
      <xdr:rowOff>0</xdr:rowOff>
    </xdr:from>
    <xdr:to>
      <xdr:col>18</xdr:col>
      <xdr:colOff>116205</xdr:colOff>
      <xdr:row>35</xdr:row>
      <xdr:rowOff>0</xdr:rowOff>
    </xdr:to>
    <xdr:cxnSp macro="">
      <xdr:nvCxnSpPr>
        <xdr:cNvPr id="20" name="Straight Connector 19"/>
        <xdr:cNvCxnSpPr/>
      </xdr:nvCxnSpPr>
      <xdr:spPr>
        <a:xfrm flipH="1">
          <a:off x="5553075" y="1447800"/>
          <a:ext cx="1744980" cy="5715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34</xdr:row>
      <xdr:rowOff>0</xdr:rowOff>
    </xdr:from>
    <xdr:to>
      <xdr:col>19</xdr:col>
      <xdr:colOff>120015</xdr:colOff>
      <xdr:row>34</xdr:row>
      <xdr:rowOff>561975</xdr:rowOff>
    </xdr:to>
    <xdr:cxnSp macro="">
      <xdr:nvCxnSpPr>
        <xdr:cNvPr id="21" name="Straight Connector 20"/>
        <xdr:cNvCxnSpPr/>
      </xdr:nvCxnSpPr>
      <xdr:spPr>
        <a:xfrm flipH="1">
          <a:off x="6677025" y="1447800"/>
          <a:ext cx="843915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123825</xdr:colOff>
      <xdr:row>34</xdr:row>
      <xdr:rowOff>0</xdr:rowOff>
    </xdr:from>
    <xdr:to>
      <xdr:col>20</xdr:col>
      <xdr:colOff>123825</xdr:colOff>
      <xdr:row>34</xdr:row>
      <xdr:rowOff>561975</xdr:rowOff>
    </xdr:to>
    <xdr:cxnSp macro="">
      <xdr:nvCxnSpPr>
        <xdr:cNvPr id="22" name="Straight Connector 21"/>
        <xdr:cNvCxnSpPr/>
      </xdr:nvCxnSpPr>
      <xdr:spPr>
        <a:xfrm>
          <a:off x="7743825" y="1447800"/>
          <a:ext cx="0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40</xdr:row>
      <xdr:rowOff>0</xdr:rowOff>
    </xdr:from>
    <xdr:to>
      <xdr:col>2</xdr:col>
      <xdr:colOff>114300</xdr:colOff>
      <xdr:row>40</xdr:row>
      <xdr:rowOff>561975</xdr:rowOff>
    </xdr:to>
    <xdr:cxnSp macro="">
      <xdr:nvCxnSpPr>
        <xdr:cNvPr id="50" name="Straight Connector 49"/>
        <xdr:cNvCxnSpPr/>
      </xdr:nvCxnSpPr>
      <xdr:spPr>
        <a:xfrm>
          <a:off x="2571750" y="7943850"/>
          <a:ext cx="0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121285</xdr:colOff>
      <xdr:row>40</xdr:row>
      <xdr:rowOff>0</xdr:rowOff>
    </xdr:from>
    <xdr:to>
      <xdr:col>7</xdr:col>
      <xdr:colOff>114300</xdr:colOff>
      <xdr:row>40</xdr:row>
      <xdr:rowOff>552450</xdr:rowOff>
    </xdr:to>
    <xdr:cxnSp macro="">
      <xdr:nvCxnSpPr>
        <xdr:cNvPr id="51" name="Straight Connector 50"/>
        <xdr:cNvCxnSpPr/>
      </xdr:nvCxnSpPr>
      <xdr:spPr>
        <a:xfrm>
          <a:off x="2797810" y="7943850"/>
          <a:ext cx="869315" cy="55245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128270</xdr:colOff>
      <xdr:row>40</xdr:row>
      <xdr:rowOff>0</xdr:rowOff>
    </xdr:from>
    <xdr:to>
      <xdr:col>12</xdr:col>
      <xdr:colOff>104775</xdr:colOff>
      <xdr:row>41</xdr:row>
      <xdr:rowOff>0</xdr:rowOff>
    </xdr:to>
    <xdr:cxnSp macro="">
      <xdr:nvCxnSpPr>
        <xdr:cNvPr id="52" name="Straight Connector 51"/>
        <xdr:cNvCxnSpPr/>
      </xdr:nvCxnSpPr>
      <xdr:spPr>
        <a:xfrm>
          <a:off x="3023870" y="7943850"/>
          <a:ext cx="1729105" cy="5715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135255</xdr:colOff>
      <xdr:row>40</xdr:row>
      <xdr:rowOff>0</xdr:rowOff>
    </xdr:from>
    <xdr:to>
      <xdr:col>17</xdr:col>
      <xdr:colOff>104775</xdr:colOff>
      <xdr:row>40</xdr:row>
      <xdr:rowOff>552450</xdr:rowOff>
    </xdr:to>
    <xdr:cxnSp macro="">
      <xdr:nvCxnSpPr>
        <xdr:cNvPr id="53" name="Straight Connector 52"/>
        <xdr:cNvCxnSpPr/>
      </xdr:nvCxnSpPr>
      <xdr:spPr>
        <a:xfrm>
          <a:off x="3249930" y="7943850"/>
          <a:ext cx="2598420" cy="55245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133350</xdr:colOff>
      <xdr:row>40</xdr:row>
      <xdr:rowOff>0</xdr:rowOff>
    </xdr:from>
    <xdr:to>
      <xdr:col>7</xdr:col>
      <xdr:colOff>113665</xdr:colOff>
      <xdr:row>41</xdr:row>
      <xdr:rowOff>0</xdr:rowOff>
    </xdr:to>
    <xdr:cxnSp macro="">
      <xdr:nvCxnSpPr>
        <xdr:cNvPr id="54" name="Straight Connector 53"/>
        <xdr:cNvCxnSpPr/>
      </xdr:nvCxnSpPr>
      <xdr:spPr>
        <a:xfrm flipH="1">
          <a:off x="2809875" y="7943850"/>
          <a:ext cx="856615" cy="5715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40</xdr:row>
      <xdr:rowOff>0</xdr:rowOff>
    </xdr:from>
    <xdr:to>
      <xdr:col>8</xdr:col>
      <xdr:colOff>111125</xdr:colOff>
      <xdr:row>40</xdr:row>
      <xdr:rowOff>561975</xdr:rowOff>
    </xdr:to>
    <xdr:cxnSp macro="">
      <xdr:nvCxnSpPr>
        <xdr:cNvPr id="55" name="Straight Connector 54"/>
        <xdr:cNvCxnSpPr/>
      </xdr:nvCxnSpPr>
      <xdr:spPr>
        <a:xfrm>
          <a:off x="3883025" y="7943850"/>
          <a:ext cx="0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108585</xdr:colOff>
      <xdr:row>40</xdr:row>
      <xdr:rowOff>0</xdr:rowOff>
    </xdr:from>
    <xdr:to>
      <xdr:col>13</xdr:col>
      <xdr:colOff>114300</xdr:colOff>
      <xdr:row>40</xdr:row>
      <xdr:rowOff>552450</xdr:rowOff>
    </xdr:to>
    <xdr:cxnSp macro="">
      <xdr:nvCxnSpPr>
        <xdr:cNvPr id="56" name="Straight Connector 55"/>
        <xdr:cNvCxnSpPr/>
      </xdr:nvCxnSpPr>
      <xdr:spPr>
        <a:xfrm>
          <a:off x="4099560" y="7943850"/>
          <a:ext cx="882015" cy="55245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106045</xdr:colOff>
      <xdr:row>40</xdr:row>
      <xdr:rowOff>9525</xdr:rowOff>
    </xdr:from>
    <xdr:to>
      <xdr:col>18</xdr:col>
      <xdr:colOff>104775</xdr:colOff>
      <xdr:row>40</xdr:row>
      <xdr:rowOff>561975</xdr:rowOff>
    </xdr:to>
    <xdr:cxnSp macro="">
      <xdr:nvCxnSpPr>
        <xdr:cNvPr id="57" name="Straight Connector 56"/>
        <xdr:cNvCxnSpPr/>
      </xdr:nvCxnSpPr>
      <xdr:spPr>
        <a:xfrm>
          <a:off x="4316095" y="7953375"/>
          <a:ext cx="1751330" cy="55245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40</xdr:row>
      <xdr:rowOff>0</xdr:rowOff>
    </xdr:from>
    <xdr:to>
      <xdr:col>12</xdr:col>
      <xdr:colOff>113030</xdr:colOff>
      <xdr:row>41</xdr:row>
      <xdr:rowOff>0</xdr:rowOff>
    </xdr:to>
    <xdr:cxnSp macro="">
      <xdr:nvCxnSpPr>
        <xdr:cNvPr id="58" name="Straight Connector 57"/>
        <xdr:cNvCxnSpPr/>
      </xdr:nvCxnSpPr>
      <xdr:spPr>
        <a:xfrm flipH="1">
          <a:off x="3028950" y="7943850"/>
          <a:ext cx="1732280" cy="5715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104775</xdr:colOff>
      <xdr:row>40</xdr:row>
      <xdr:rowOff>0</xdr:rowOff>
    </xdr:from>
    <xdr:to>
      <xdr:col>13</xdr:col>
      <xdr:colOff>116841</xdr:colOff>
      <xdr:row>41</xdr:row>
      <xdr:rowOff>0</xdr:rowOff>
    </xdr:to>
    <xdr:cxnSp macro="">
      <xdr:nvCxnSpPr>
        <xdr:cNvPr id="59" name="Straight Connector 58"/>
        <xdr:cNvCxnSpPr/>
      </xdr:nvCxnSpPr>
      <xdr:spPr>
        <a:xfrm flipH="1">
          <a:off x="4095750" y="7943850"/>
          <a:ext cx="888366" cy="5715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120650</xdr:colOff>
      <xdr:row>40</xdr:row>
      <xdr:rowOff>0</xdr:rowOff>
    </xdr:from>
    <xdr:to>
      <xdr:col>14</xdr:col>
      <xdr:colOff>120650</xdr:colOff>
      <xdr:row>40</xdr:row>
      <xdr:rowOff>561975</xdr:rowOff>
    </xdr:to>
    <xdr:cxnSp macro="">
      <xdr:nvCxnSpPr>
        <xdr:cNvPr id="60" name="Straight Connector 59"/>
        <xdr:cNvCxnSpPr/>
      </xdr:nvCxnSpPr>
      <xdr:spPr>
        <a:xfrm>
          <a:off x="5207000" y="7943850"/>
          <a:ext cx="0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124460</xdr:colOff>
      <xdr:row>40</xdr:row>
      <xdr:rowOff>0</xdr:rowOff>
    </xdr:from>
    <xdr:to>
      <xdr:col>19</xdr:col>
      <xdr:colOff>133350</xdr:colOff>
      <xdr:row>40</xdr:row>
      <xdr:rowOff>561975</xdr:rowOff>
    </xdr:to>
    <xdr:cxnSp macro="">
      <xdr:nvCxnSpPr>
        <xdr:cNvPr id="61" name="Straight Connector 60"/>
        <xdr:cNvCxnSpPr/>
      </xdr:nvCxnSpPr>
      <xdr:spPr>
        <a:xfrm>
          <a:off x="5429885" y="7943850"/>
          <a:ext cx="885190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85725</xdr:colOff>
      <xdr:row>40</xdr:row>
      <xdr:rowOff>9525</xdr:rowOff>
    </xdr:from>
    <xdr:to>
      <xdr:col>17</xdr:col>
      <xdr:colOff>112397</xdr:colOff>
      <xdr:row>41</xdr:row>
      <xdr:rowOff>0</xdr:rowOff>
    </xdr:to>
    <xdr:cxnSp macro="">
      <xdr:nvCxnSpPr>
        <xdr:cNvPr id="62" name="Straight Connector 61"/>
        <xdr:cNvCxnSpPr/>
      </xdr:nvCxnSpPr>
      <xdr:spPr>
        <a:xfrm flipH="1">
          <a:off x="3200400" y="7953375"/>
          <a:ext cx="2655572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40</xdr:row>
      <xdr:rowOff>0</xdr:rowOff>
    </xdr:from>
    <xdr:to>
      <xdr:col>18</xdr:col>
      <xdr:colOff>116205</xdr:colOff>
      <xdr:row>41</xdr:row>
      <xdr:rowOff>0</xdr:rowOff>
    </xdr:to>
    <xdr:cxnSp macro="">
      <xdr:nvCxnSpPr>
        <xdr:cNvPr id="63" name="Straight Connector 62"/>
        <xdr:cNvCxnSpPr/>
      </xdr:nvCxnSpPr>
      <xdr:spPr>
        <a:xfrm flipH="1">
          <a:off x="4333875" y="7943850"/>
          <a:ext cx="1744980" cy="5715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40</xdr:row>
      <xdr:rowOff>0</xdr:rowOff>
    </xdr:from>
    <xdr:to>
      <xdr:col>19</xdr:col>
      <xdr:colOff>120015</xdr:colOff>
      <xdr:row>40</xdr:row>
      <xdr:rowOff>561975</xdr:rowOff>
    </xdr:to>
    <xdr:cxnSp macro="">
      <xdr:nvCxnSpPr>
        <xdr:cNvPr id="64" name="Straight Connector 63"/>
        <xdr:cNvCxnSpPr/>
      </xdr:nvCxnSpPr>
      <xdr:spPr>
        <a:xfrm flipH="1">
          <a:off x="5457825" y="7943850"/>
          <a:ext cx="843915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123825</xdr:colOff>
      <xdr:row>40</xdr:row>
      <xdr:rowOff>0</xdr:rowOff>
    </xdr:from>
    <xdr:to>
      <xdr:col>20</xdr:col>
      <xdr:colOff>123825</xdr:colOff>
      <xdr:row>40</xdr:row>
      <xdr:rowOff>561975</xdr:rowOff>
    </xdr:to>
    <xdr:cxnSp macro="">
      <xdr:nvCxnSpPr>
        <xdr:cNvPr id="65" name="Straight Connector 64"/>
        <xdr:cNvCxnSpPr/>
      </xdr:nvCxnSpPr>
      <xdr:spPr>
        <a:xfrm>
          <a:off x="6524625" y="7943850"/>
          <a:ext cx="0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46</xdr:row>
      <xdr:rowOff>0</xdr:rowOff>
    </xdr:from>
    <xdr:to>
      <xdr:col>2</xdr:col>
      <xdr:colOff>114300</xdr:colOff>
      <xdr:row>46</xdr:row>
      <xdr:rowOff>561975</xdr:rowOff>
    </xdr:to>
    <xdr:cxnSp macro="">
      <xdr:nvCxnSpPr>
        <xdr:cNvPr id="178" name="Straight Connector 177"/>
        <xdr:cNvCxnSpPr/>
      </xdr:nvCxnSpPr>
      <xdr:spPr>
        <a:xfrm>
          <a:off x="2571750" y="9534525"/>
          <a:ext cx="0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121285</xdr:colOff>
      <xdr:row>46</xdr:row>
      <xdr:rowOff>0</xdr:rowOff>
    </xdr:from>
    <xdr:to>
      <xdr:col>7</xdr:col>
      <xdr:colOff>114300</xdr:colOff>
      <xdr:row>46</xdr:row>
      <xdr:rowOff>552450</xdr:rowOff>
    </xdr:to>
    <xdr:cxnSp macro="">
      <xdr:nvCxnSpPr>
        <xdr:cNvPr id="179" name="Straight Connector 178"/>
        <xdr:cNvCxnSpPr/>
      </xdr:nvCxnSpPr>
      <xdr:spPr>
        <a:xfrm>
          <a:off x="2797810" y="9534525"/>
          <a:ext cx="869315" cy="55245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128270</xdr:colOff>
      <xdr:row>46</xdr:row>
      <xdr:rowOff>0</xdr:rowOff>
    </xdr:from>
    <xdr:to>
      <xdr:col>12</xdr:col>
      <xdr:colOff>104775</xdr:colOff>
      <xdr:row>47</xdr:row>
      <xdr:rowOff>0</xdr:rowOff>
    </xdr:to>
    <xdr:cxnSp macro="">
      <xdr:nvCxnSpPr>
        <xdr:cNvPr id="180" name="Straight Connector 179"/>
        <xdr:cNvCxnSpPr/>
      </xdr:nvCxnSpPr>
      <xdr:spPr>
        <a:xfrm>
          <a:off x="3023870" y="9534525"/>
          <a:ext cx="1729105" cy="5715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135255</xdr:colOff>
      <xdr:row>46</xdr:row>
      <xdr:rowOff>0</xdr:rowOff>
    </xdr:from>
    <xdr:to>
      <xdr:col>17</xdr:col>
      <xdr:colOff>104775</xdr:colOff>
      <xdr:row>46</xdr:row>
      <xdr:rowOff>552450</xdr:rowOff>
    </xdr:to>
    <xdr:cxnSp macro="">
      <xdr:nvCxnSpPr>
        <xdr:cNvPr id="181" name="Straight Connector 180"/>
        <xdr:cNvCxnSpPr/>
      </xdr:nvCxnSpPr>
      <xdr:spPr>
        <a:xfrm>
          <a:off x="3249930" y="9534525"/>
          <a:ext cx="2598420" cy="55245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133350</xdr:colOff>
      <xdr:row>46</xdr:row>
      <xdr:rowOff>0</xdr:rowOff>
    </xdr:from>
    <xdr:to>
      <xdr:col>7</xdr:col>
      <xdr:colOff>113665</xdr:colOff>
      <xdr:row>47</xdr:row>
      <xdr:rowOff>0</xdr:rowOff>
    </xdr:to>
    <xdr:cxnSp macro="">
      <xdr:nvCxnSpPr>
        <xdr:cNvPr id="182" name="Straight Connector 181"/>
        <xdr:cNvCxnSpPr/>
      </xdr:nvCxnSpPr>
      <xdr:spPr>
        <a:xfrm flipH="1">
          <a:off x="2809875" y="9534525"/>
          <a:ext cx="856615" cy="5715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46</xdr:row>
      <xdr:rowOff>0</xdr:rowOff>
    </xdr:from>
    <xdr:to>
      <xdr:col>8</xdr:col>
      <xdr:colOff>111125</xdr:colOff>
      <xdr:row>46</xdr:row>
      <xdr:rowOff>561975</xdr:rowOff>
    </xdr:to>
    <xdr:cxnSp macro="">
      <xdr:nvCxnSpPr>
        <xdr:cNvPr id="183" name="Straight Connector 182"/>
        <xdr:cNvCxnSpPr/>
      </xdr:nvCxnSpPr>
      <xdr:spPr>
        <a:xfrm>
          <a:off x="3883025" y="9534525"/>
          <a:ext cx="0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108585</xdr:colOff>
      <xdr:row>46</xdr:row>
      <xdr:rowOff>0</xdr:rowOff>
    </xdr:from>
    <xdr:to>
      <xdr:col>13</xdr:col>
      <xdr:colOff>114300</xdr:colOff>
      <xdr:row>46</xdr:row>
      <xdr:rowOff>552450</xdr:rowOff>
    </xdr:to>
    <xdr:cxnSp macro="">
      <xdr:nvCxnSpPr>
        <xdr:cNvPr id="184" name="Straight Connector 183"/>
        <xdr:cNvCxnSpPr/>
      </xdr:nvCxnSpPr>
      <xdr:spPr>
        <a:xfrm>
          <a:off x="4099560" y="9534525"/>
          <a:ext cx="882015" cy="55245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106045</xdr:colOff>
      <xdr:row>46</xdr:row>
      <xdr:rowOff>9525</xdr:rowOff>
    </xdr:from>
    <xdr:to>
      <xdr:col>18</xdr:col>
      <xdr:colOff>104775</xdr:colOff>
      <xdr:row>46</xdr:row>
      <xdr:rowOff>561975</xdr:rowOff>
    </xdr:to>
    <xdr:cxnSp macro="">
      <xdr:nvCxnSpPr>
        <xdr:cNvPr id="185" name="Straight Connector 184"/>
        <xdr:cNvCxnSpPr/>
      </xdr:nvCxnSpPr>
      <xdr:spPr>
        <a:xfrm>
          <a:off x="4316095" y="9544050"/>
          <a:ext cx="1751330" cy="55245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46</xdr:row>
      <xdr:rowOff>0</xdr:rowOff>
    </xdr:from>
    <xdr:to>
      <xdr:col>12</xdr:col>
      <xdr:colOff>113030</xdr:colOff>
      <xdr:row>47</xdr:row>
      <xdr:rowOff>0</xdr:rowOff>
    </xdr:to>
    <xdr:cxnSp macro="">
      <xdr:nvCxnSpPr>
        <xdr:cNvPr id="186" name="Straight Connector 185"/>
        <xdr:cNvCxnSpPr/>
      </xdr:nvCxnSpPr>
      <xdr:spPr>
        <a:xfrm flipH="1">
          <a:off x="3028950" y="9534525"/>
          <a:ext cx="1732280" cy="5715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104775</xdr:colOff>
      <xdr:row>46</xdr:row>
      <xdr:rowOff>0</xdr:rowOff>
    </xdr:from>
    <xdr:to>
      <xdr:col>13</xdr:col>
      <xdr:colOff>116841</xdr:colOff>
      <xdr:row>47</xdr:row>
      <xdr:rowOff>0</xdr:rowOff>
    </xdr:to>
    <xdr:cxnSp macro="">
      <xdr:nvCxnSpPr>
        <xdr:cNvPr id="187" name="Straight Connector 186"/>
        <xdr:cNvCxnSpPr/>
      </xdr:nvCxnSpPr>
      <xdr:spPr>
        <a:xfrm flipH="1">
          <a:off x="4095750" y="9534525"/>
          <a:ext cx="888366" cy="5715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120650</xdr:colOff>
      <xdr:row>46</xdr:row>
      <xdr:rowOff>0</xdr:rowOff>
    </xdr:from>
    <xdr:to>
      <xdr:col>14</xdr:col>
      <xdr:colOff>120650</xdr:colOff>
      <xdr:row>46</xdr:row>
      <xdr:rowOff>561975</xdr:rowOff>
    </xdr:to>
    <xdr:cxnSp macro="">
      <xdr:nvCxnSpPr>
        <xdr:cNvPr id="188" name="Straight Connector 187"/>
        <xdr:cNvCxnSpPr/>
      </xdr:nvCxnSpPr>
      <xdr:spPr>
        <a:xfrm>
          <a:off x="5207000" y="9534525"/>
          <a:ext cx="0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124460</xdr:colOff>
      <xdr:row>46</xdr:row>
      <xdr:rowOff>0</xdr:rowOff>
    </xdr:from>
    <xdr:to>
      <xdr:col>19</xdr:col>
      <xdr:colOff>133350</xdr:colOff>
      <xdr:row>46</xdr:row>
      <xdr:rowOff>561975</xdr:rowOff>
    </xdr:to>
    <xdr:cxnSp macro="">
      <xdr:nvCxnSpPr>
        <xdr:cNvPr id="189" name="Straight Connector 188"/>
        <xdr:cNvCxnSpPr/>
      </xdr:nvCxnSpPr>
      <xdr:spPr>
        <a:xfrm>
          <a:off x="5429885" y="9534525"/>
          <a:ext cx="885190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85725</xdr:colOff>
      <xdr:row>46</xdr:row>
      <xdr:rowOff>9525</xdr:rowOff>
    </xdr:from>
    <xdr:to>
      <xdr:col>17</xdr:col>
      <xdr:colOff>112397</xdr:colOff>
      <xdr:row>47</xdr:row>
      <xdr:rowOff>0</xdr:rowOff>
    </xdr:to>
    <xdr:cxnSp macro="">
      <xdr:nvCxnSpPr>
        <xdr:cNvPr id="190" name="Straight Connector 189"/>
        <xdr:cNvCxnSpPr/>
      </xdr:nvCxnSpPr>
      <xdr:spPr>
        <a:xfrm flipH="1">
          <a:off x="3200400" y="9544050"/>
          <a:ext cx="2655572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46</xdr:row>
      <xdr:rowOff>0</xdr:rowOff>
    </xdr:from>
    <xdr:to>
      <xdr:col>18</xdr:col>
      <xdr:colOff>116205</xdr:colOff>
      <xdr:row>47</xdr:row>
      <xdr:rowOff>0</xdr:rowOff>
    </xdr:to>
    <xdr:cxnSp macro="">
      <xdr:nvCxnSpPr>
        <xdr:cNvPr id="191" name="Straight Connector 190"/>
        <xdr:cNvCxnSpPr/>
      </xdr:nvCxnSpPr>
      <xdr:spPr>
        <a:xfrm flipH="1">
          <a:off x="4333875" y="9534525"/>
          <a:ext cx="1744980" cy="5715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46</xdr:row>
      <xdr:rowOff>0</xdr:rowOff>
    </xdr:from>
    <xdr:to>
      <xdr:col>19</xdr:col>
      <xdr:colOff>120015</xdr:colOff>
      <xdr:row>46</xdr:row>
      <xdr:rowOff>561975</xdr:rowOff>
    </xdr:to>
    <xdr:cxnSp macro="">
      <xdr:nvCxnSpPr>
        <xdr:cNvPr id="192" name="Straight Connector 191"/>
        <xdr:cNvCxnSpPr/>
      </xdr:nvCxnSpPr>
      <xdr:spPr>
        <a:xfrm flipH="1">
          <a:off x="5457825" y="9534525"/>
          <a:ext cx="843915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123825</xdr:colOff>
      <xdr:row>46</xdr:row>
      <xdr:rowOff>0</xdr:rowOff>
    </xdr:from>
    <xdr:to>
      <xdr:col>20</xdr:col>
      <xdr:colOff>123825</xdr:colOff>
      <xdr:row>46</xdr:row>
      <xdr:rowOff>561975</xdr:rowOff>
    </xdr:to>
    <xdr:cxnSp macro="">
      <xdr:nvCxnSpPr>
        <xdr:cNvPr id="193" name="Straight Connector 192"/>
        <xdr:cNvCxnSpPr/>
      </xdr:nvCxnSpPr>
      <xdr:spPr>
        <a:xfrm>
          <a:off x="6524625" y="9534525"/>
          <a:ext cx="0" cy="5619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52</xdr:row>
      <xdr:rowOff>19050</xdr:rowOff>
    </xdr:from>
    <xdr:to>
      <xdr:col>2</xdr:col>
      <xdr:colOff>114301</xdr:colOff>
      <xdr:row>52</xdr:row>
      <xdr:rowOff>190500</xdr:rowOff>
    </xdr:to>
    <xdr:cxnSp macro="">
      <xdr:nvCxnSpPr>
        <xdr:cNvPr id="290" name="Straight Connector 289"/>
        <xdr:cNvCxnSpPr/>
      </xdr:nvCxnSpPr>
      <xdr:spPr>
        <a:xfrm flipH="1">
          <a:off x="2571750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52</xdr:row>
      <xdr:rowOff>19050</xdr:rowOff>
    </xdr:from>
    <xdr:to>
      <xdr:col>3</xdr:col>
      <xdr:colOff>114301</xdr:colOff>
      <xdr:row>52</xdr:row>
      <xdr:rowOff>190500</xdr:rowOff>
    </xdr:to>
    <xdr:cxnSp macro="">
      <xdr:nvCxnSpPr>
        <xdr:cNvPr id="291" name="Straight Connector 290"/>
        <xdr:cNvCxnSpPr/>
      </xdr:nvCxnSpPr>
      <xdr:spPr>
        <a:xfrm flipH="1">
          <a:off x="2790825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114300</xdr:colOff>
      <xdr:row>52</xdr:row>
      <xdr:rowOff>19050</xdr:rowOff>
    </xdr:from>
    <xdr:to>
      <xdr:col>4</xdr:col>
      <xdr:colOff>114301</xdr:colOff>
      <xdr:row>52</xdr:row>
      <xdr:rowOff>190500</xdr:rowOff>
    </xdr:to>
    <xdr:cxnSp macro="">
      <xdr:nvCxnSpPr>
        <xdr:cNvPr id="292" name="Straight Connector 291"/>
        <xdr:cNvCxnSpPr/>
      </xdr:nvCxnSpPr>
      <xdr:spPr>
        <a:xfrm flipH="1">
          <a:off x="3009900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52</xdr:row>
      <xdr:rowOff>19050</xdr:rowOff>
    </xdr:from>
    <xdr:to>
      <xdr:col>5</xdr:col>
      <xdr:colOff>114301</xdr:colOff>
      <xdr:row>52</xdr:row>
      <xdr:rowOff>190500</xdr:rowOff>
    </xdr:to>
    <xdr:cxnSp macro="">
      <xdr:nvCxnSpPr>
        <xdr:cNvPr id="293" name="Straight Connector 292"/>
        <xdr:cNvCxnSpPr/>
      </xdr:nvCxnSpPr>
      <xdr:spPr>
        <a:xfrm flipH="1">
          <a:off x="3228975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52</xdr:row>
      <xdr:rowOff>19050</xdr:rowOff>
    </xdr:from>
    <xdr:to>
      <xdr:col>7</xdr:col>
      <xdr:colOff>114301</xdr:colOff>
      <xdr:row>52</xdr:row>
      <xdr:rowOff>190500</xdr:rowOff>
    </xdr:to>
    <xdr:cxnSp macro="">
      <xdr:nvCxnSpPr>
        <xdr:cNvPr id="294" name="Straight Connector 293"/>
        <xdr:cNvCxnSpPr/>
      </xdr:nvCxnSpPr>
      <xdr:spPr>
        <a:xfrm flipH="1">
          <a:off x="3667125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19050</xdr:rowOff>
    </xdr:from>
    <xdr:to>
      <xdr:col>8</xdr:col>
      <xdr:colOff>114301</xdr:colOff>
      <xdr:row>52</xdr:row>
      <xdr:rowOff>190500</xdr:rowOff>
    </xdr:to>
    <xdr:cxnSp macro="">
      <xdr:nvCxnSpPr>
        <xdr:cNvPr id="295" name="Straight Connector 294"/>
        <xdr:cNvCxnSpPr/>
      </xdr:nvCxnSpPr>
      <xdr:spPr>
        <a:xfrm flipH="1">
          <a:off x="3886200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52</xdr:row>
      <xdr:rowOff>19050</xdr:rowOff>
    </xdr:from>
    <xdr:to>
      <xdr:col>9</xdr:col>
      <xdr:colOff>114301</xdr:colOff>
      <xdr:row>52</xdr:row>
      <xdr:rowOff>190500</xdr:rowOff>
    </xdr:to>
    <xdr:cxnSp macro="">
      <xdr:nvCxnSpPr>
        <xdr:cNvPr id="296" name="Straight Connector 295"/>
        <xdr:cNvCxnSpPr/>
      </xdr:nvCxnSpPr>
      <xdr:spPr>
        <a:xfrm flipH="1">
          <a:off x="4105275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52</xdr:row>
      <xdr:rowOff>19050</xdr:rowOff>
    </xdr:from>
    <xdr:to>
      <xdr:col>10</xdr:col>
      <xdr:colOff>114301</xdr:colOff>
      <xdr:row>52</xdr:row>
      <xdr:rowOff>190500</xdr:rowOff>
    </xdr:to>
    <xdr:cxnSp macro="">
      <xdr:nvCxnSpPr>
        <xdr:cNvPr id="297" name="Straight Connector 296"/>
        <xdr:cNvCxnSpPr/>
      </xdr:nvCxnSpPr>
      <xdr:spPr>
        <a:xfrm flipH="1">
          <a:off x="4324350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52</xdr:row>
      <xdr:rowOff>19050</xdr:rowOff>
    </xdr:from>
    <xdr:to>
      <xdr:col>12</xdr:col>
      <xdr:colOff>114301</xdr:colOff>
      <xdr:row>52</xdr:row>
      <xdr:rowOff>190500</xdr:rowOff>
    </xdr:to>
    <xdr:cxnSp macro="">
      <xdr:nvCxnSpPr>
        <xdr:cNvPr id="298" name="Straight Connector 297"/>
        <xdr:cNvCxnSpPr/>
      </xdr:nvCxnSpPr>
      <xdr:spPr>
        <a:xfrm flipH="1">
          <a:off x="4762500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114300</xdr:colOff>
      <xdr:row>52</xdr:row>
      <xdr:rowOff>19050</xdr:rowOff>
    </xdr:from>
    <xdr:to>
      <xdr:col>13</xdr:col>
      <xdr:colOff>114301</xdr:colOff>
      <xdr:row>52</xdr:row>
      <xdr:rowOff>190500</xdr:rowOff>
    </xdr:to>
    <xdr:cxnSp macro="">
      <xdr:nvCxnSpPr>
        <xdr:cNvPr id="299" name="Straight Connector 298"/>
        <xdr:cNvCxnSpPr/>
      </xdr:nvCxnSpPr>
      <xdr:spPr>
        <a:xfrm flipH="1">
          <a:off x="4981575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114300</xdr:colOff>
      <xdr:row>52</xdr:row>
      <xdr:rowOff>19050</xdr:rowOff>
    </xdr:from>
    <xdr:to>
      <xdr:col>14</xdr:col>
      <xdr:colOff>114301</xdr:colOff>
      <xdr:row>52</xdr:row>
      <xdr:rowOff>190500</xdr:rowOff>
    </xdr:to>
    <xdr:cxnSp macro="">
      <xdr:nvCxnSpPr>
        <xdr:cNvPr id="300" name="Straight Connector 299"/>
        <xdr:cNvCxnSpPr/>
      </xdr:nvCxnSpPr>
      <xdr:spPr>
        <a:xfrm flipH="1">
          <a:off x="5200650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114300</xdr:colOff>
      <xdr:row>52</xdr:row>
      <xdr:rowOff>19050</xdr:rowOff>
    </xdr:from>
    <xdr:to>
      <xdr:col>15</xdr:col>
      <xdr:colOff>114301</xdr:colOff>
      <xdr:row>52</xdr:row>
      <xdr:rowOff>190500</xdr:rowOff>
    </xdr:to>
    <xdr:cxnSp macro="">
      <xdr:nvCxnSpPr>
        <xdr:cNvPr id="301" name="Straight Connector 300"/>
        <xdr:cNvCxnSpPr/>
      </xdr:nvCxnSpPr>
      <xdr:spPr>
        <a:xfrm flipH="1">
          <a:off x="5419725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114300</xdr:colOff>
      <xdr:row>52</xdr:row>
      <xdr:rowOff>19050</xdr:rowOff>
    </xdr:from>
    <xdr:to>
      <xdr:col>17</xdr:col>
      <xdr:colOff>114301</xdr:colOff>
      <xdr:row>52</xdr:row>
      <xdr:rowOff>190500</xdr:rowOff>
    </xdr:to>
    <xdr:cxnSp macro="">
      <xdr:nvCxnSpPr>
        <xdr:cNvPr id="302" name="Straight Connector 301"/>
        <xdr:cNvCxnSpPr/>
      </xdr:nvCxnSpPr>
      <xdr:spPr>
        <a:xfrm flipH="1">
          <a:off x="5857875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114300</xdr:colOff>
      <xdr:row>52</xdr:row>
      <xdr:rowOff>19050</xdr:rowOff>
    </xdr:from>
    <xdr:to>
      <xdr:col>18</xdr:col>
      <xdr:colOff>114301</xdr:colOff>
      <xdr:row>52</xdr:row>
      <xdr:rowOff>190500</xdr:rowOff>
    </xdr:to>
    <xdr:cxnSp macro="">
      <xdr:nvCxnSpPr>
        <xdr:cNvPr id="303" name="Straight Connector 302"/>
        <xdr:cNvCxnSpPr/>
      </xdr:nvCxnSpPr>
      <xdr:spPr>
        <a:xfrm flipH="1">
          <a:off x="6076950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114300</xdr:colOff>
      <xdr:row>52</xdr:row>
      <xdr:rowOff>19050</xdr:rowOff>
    </xdr:from>
    <xdr:to>
      <xdr:col>19</xdr:col>
      <xdr:colOff>114301</xdr:colOff>
      <xdr:row>52</xdr:row>
      <xdr:rowOff>190500</xdr:rowOff>
    </xdr:to>
    <xdr:cxnSp macro="">
      <xdr:nvCxnSpPr>
        <xdr:cNvPr id="304" name="Straight Connector 303"/>
        <xdr:cNvCxnSpPr/>
      </xdr:nvCxnSpPr>
      <xdr:spPr>
        <a:xfrm flipH="1">
          <a:off x="6296025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114300</xdr:colOff>
      <xdr:row>52</xdr:row>
      <xdr:rowOff>19050</xdr:rowOff>
    </xdr:from>
    <xdr:to>
      <xdr:col>20</xdr:col>
      <xdr:colOff>114301</xdr:colOff>
      <xdr:row>52</xdr:row>
      <xdr:rowOff>190500</xdr:rowOff>
    </xdr:to>
    <xdr:cxnSp macro="">
      <xdr:nvCxnSpPr>
        <xdr:cNvPr id="305" name="Straight Connector 304"/>
        <xdr:cNvCxnSpPr/>
      </xdr:nvCxnSpPr>
      <xdr:spPr>
        <a:xfrm flipH="1">
          <a:off x="6515100" y="107632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54</xdr:row>
      <xdr:rowOff>19050</xdr:rowOff>
    </xdr:from>
    <xdr:to>
      <xdr:col>2</xdr:col>
      <xdr:colOff>114301</xdr:colOff>
      <xdr:row>54</xdr:row>
      <xdr:rowOff>190500</xdr:rowOff>
    </xdr:to>
    <xdr:cxnSp macro="">
      <xdr:nvCxnSpPr>
        <xdr:cNvPr id="338" name="Straight Connector 337"/>
        <xdr:cNvCxnSpPr/>
      </xdr:nvCxnSpPr>
      <xdr:spPr>
        <a:xfrm flipH="1">
          <a:off x="2571750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54</xdr:row>
      <xdr:rowOff>19050</xdr:rowOff>
    </xdr:from>
    <xdr:to>
      <xdr:col>3</xdr:col>
      <xdr:colOff>114301</xdr:colOff>
      <xdr:row>54</xdr:row>
      <xdr:rowOff>190500</xdr:rowOff>
    </xdr:to>
    <xdr:cxnSp macro="">
      <xdr:nvCxnSpPr>
        <xdr:cNvPr id="339" name="Straight Connector 338"/>
        <xdr:cNvCxnSpPr/>
      </xdr:nvCxnSpPr>
      <xdr:spPr>
        <a:xfrm flipH="1">
          <a:off x="2790825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114300</xdr:colOff>
      <xdr:row>54</xdr:row>
      <xdr:rowOff>19050</xdr:rowOff>
    </xdr:from>
    <xdr:to>
      <xdr:col>4</xdr:col>
      <xdr:colOff>114301</xdr:colOff>
      <xdr:row>54</xdr:row>
      <xdr:rowOff>190500</xdr:rowOff>
    </xdr:to>
    <xdr:cxnSp macro="">
      <xdr:nvCxnSpPr>
        <xdr:cNvPr id="340" name="Straight Connector 339"/>
        <xdr:cNvCxnSpPr/>
      </xdr:nvCxnSpPr>
      <xdr:spPr>
        <a:xfrm flipH="1">
          <a:off x="3009900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54</xdr:row>
      <xdr:rowOff>19050</xdr:rowOff>
    </xdr:from>
    <xdr:to>
      <xdr:col>5</xdr:col>
      <xdr:colOff>114301</xdr:colOff>
      <xdr:row>54</xdr:row>
      <xdr:rowOff>190500</xdr:rowOff>
    </xdr:to>
    <xdr:cxnSp macro="">
      <xdr:nvCxnSpPr>
        <xdr:cNvPr id="341" name="Straight Connector 340"/>
        <xdr:cNvCxnSpPr/>
      </xdr:nvCxnSpPr>
      <xdr:spPr>
        <a:xfrm flipH="1">
          <a:off x="3228975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54</xdr:row>
      <xdr:rowOff>19050</xdr:rowOff>
    </xdr:from>
    <xdr:to>
      <xdr:col>7</xdr:col>
      <xdr:colOff>114301</xdr:colOff>
      <xdr:row>54</xdr:row>
      <xdr:rowOff>190500</xdr:rowOff>
    </xdr:to>
    <xdr:cxnSp macro="">
      <xdr:nvCxnSpPr>
        <xdr:cNvPr id="342" name="Straight Connector 341"/>
        <xdr:cNvCxnSpPr/>
      </xdr:nvCxnSpPr>
      <xdr:spPr>
        <a:xfrm flipH="1">
          <a:off x="3667125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19050</xdr:rowOff>
    </xdr:from>
    <xdr:to>
      <xdr:col>8</xdr:col>
      <xdr:colOff>114301</xdr:colOff>
      <xdr:row>54</xdr:row>
      <xdr:rowOff>190500</xdr:rowOff>
    </xdr:to>
    <xdr:cxnSp macro="">
      <xdr:nvCxnSpPr>
        <xdr:cNvPr id="343" name="Straight Connector 342"/>
        <xdr:cNvCxnSpPr/>
      </xdr:nvCxnSpPr>
      <xdr:spPr>
        <a:xfrm flipH="1">
          <a:off x="3886200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54</xdr:row>
      <xdr:rowOff>19050</xdr:rowOff>
    </xdr:from>
    <xdr:to>
      <xdr:col>9</xdr:col>
      <xdr:colOff>114301</xdr:colOff>
      <xdr:row>54</xdr:row>
      <xdr:rowOff>190500</xdr:rowOff>
    </xdr:to>
    <xdr:cxnSp macro="">
      <xdr:nvCxnSpPr>
        <xdr:cNvPr id="344" name="Straight Connector 343"/>
        <xdr:cNvCxnSpPr/>
      </xdr:nvCxnSpPr>
      <xdr:spPr>
        <a:xfrm flipH="1">
          <a:off x="4105275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</xdr:row>
      <xdr:rowOff>19050</xdr:rowOff>
    </xdr:from>
    <xdr:to>
      <xdr:col>10</xdr:col>
      <xdr:colOff>114301</xdr:colOff>
      <xdr:row>54</xdr:row>
      <xdr:rowOff>190500</xdr:rowOff>
    </xdr:to>
    <xdr:cxnSp macro="">
      <xdr:nvCxnSpPr>
        <xdr:cNvPr id="345" name="Straight Connector 344"/>
        <xdr:cNvCxnSpPr/>
      </xdr:nvCxnSpPr>
      <xdr:spPr>
        <a:xfrm flipH="1">
          <a:off x="4324350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54</xdr:row>
      <xdr:rowOff>19050</xdr:rowOff>
    </xdr:from>
    <xdr:to>
      <xdr:col>12</xdr:col>
      <xdr:colOff>114301</xdr:colOff>
      <xdr:row>54</xdr:row>
      <xdr:rowOff>190500</xdr:rowOff>
    </xdr:to>
    <xdr:cxnSp macro="">
      <xdr:nvCxnSpPr>
        <xdr:cNvPr id="346" name="Straight Connector 345"/>
        <xdr:cNvCxnSpPr/>
      </xdr:nvCxnSpPr>
      <xdr:spPr>
        <a:xfrm flipH="1">
          <a:off x="4762500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114300</xdr:colOff>
      <xdr:row>54</xdr:row>
      <xdr:rowOff>19050</xdr:rowOff>
    </xdr:from>
    <xdr:to>
      <xdr:col>13</xdr:col>
      <xdr:colOff>114301</xdr:colOff>
      <xdr:row>54</xdr:row>
      <xdr:rowOff>190500</xdr:rowOff>
    </xdr:to>
    <xdr:cxnSp macro="">
      <xdr:nvCxnSpPr>
        <xdr:cNvPr id="347" name="Straight Connector 346"/>
        <xdr:cNvCxnSpPr/>
      </xdr:nvCxnSpPr>
      <xdr:spPr>
        <a:xfrm flipH="1">
          <a:off x="4981575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114300</xdr:colOff>
      <xdr:row>54</xdr:row>
      <xdr:rowOff>19050</xdr:rowOff>
    </xdr:from>
    <xdr:to>
      <xdr:col>14</xdr:col>
      <xdr:colOff>114301</xdr:colOff>
      <xdr:row>54</xdr:row>
      <xdr:rowOff>190500</xdr:rowOff>
    </xdr:to>
    <xdr:cxnSp macro="">
      <xdr:nvCxnSpPr>
        <xdr:cNvPr id="348" name="Straight Connector 347"/>
        <xdr:cNvCxnSpPr/>
      </xdr:nvCxnSpPr>
      <xdr:spPr>
        <a:xfrm flipH="1">
          <a:off x="5200650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114300</xdr:colOff>
      <xdr:row>54</xdr:row>
      <xdr:rowOff>19050</xdr:rowOff>
    </xdr:from>
    <xdr:to>
      <xdr:col>15</xdr:col>
      <xdr:colOff>114301</xdr:colOff>
      <xdr:row>54</xdr:row>
      <xdr:rowOff>190500</xdr:rowOff>
    </xdr:to>
    <xdr:cxnSp macro="">
      <xdr:nvCxnSpPr>
        <xdr:cNvPr id="349" name="Straight Connector 348"/>
        <xdr:cNvCxnSpPr/>
      </xdr:nvCxnSpPr>
      <xdr:spPr>
        <a:xfrm flipH="1">
          <a:off x="5419725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114300</xdr:colOff>
      <xdr:row>54</xdr:row>
      <xdr:rowOff>19050</xdr:rowOff>
    </xdr:from>
    <xdr:to>
      <xdr:col>17</xdr:col>
      <xdr:colOff>114301</xdr:colOff>
      <xdr:row>54</xdr:row>
      <xdr:rowOff>190500</xdr:rowOff>
    </xdr:to>
    <xdr:cxnSp macro="">
      <xdr:nvCxnSpPr>
        <xdr:cNvPr id="350" name="Straight Connector 349"/>
        <xdr:cNvCxnSpPr/>
      </xdr:nvCxnSpPr>
      <xdr:spPr>
        <a:xfrm flipH="1">
          <a:off x="5857875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114300</xdr:colOff>
      <xdr:row>54</xdr:row>
      <xdr:rowOff>19050</xdr:rowOff>
    </xdr:from>
    <xdr:to>
      <xdr:col>18</xdr:col>
      <xdr:colOff>114301</xdr:colOff>
      <xdr:row>54</xdr:row>
      <xdr:rowOff>190500</xdr:rowOff>
    </xdr:to>
    <xdr:cxnSp macro="">
      <xdr:nvCxnSpPr>
        <xdr:cNvPr id="351" name="Straight Connector 350"/>
        <xdr:cNvCxnSpPr/>
      </xdr:nvCxnSpPr>
      <xdr:spPr>
        <a:xfrm flipH="1">
          <a:off x="6076950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114300</xdr:colOff>
      <xdr:row>54</xdr:row>
      <xdr:rowOff>19050</xdr:rowOff>
    </xdr:from>
    <xdr:to>
      <xdr:col>19</xdr:col>
      <xdr:colOff>114301</xdr:colOff>
      <xdr:row>54</xdr:row>
      <xdr:rowOff>190500</xdr:rowOff>
    </xdr:to>
    <xdr:cxnSp macro="">
      <xdr:nvCxnSpPr>
        <xdr:cNvPr id="352" name="Straight Connector 351"/>
        <xdr:cNvCxnSpPr/>
      </xdr:nvCxnSpPr>
      <xdr:spPr>
        <a:xfrm flipH="1">
          <a:off x="6296025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114300</xdr:colOff>
      <xdr:row>54</xdr:row>
      <xdr:rowOff>19050</xdr:rowOff>
    </xdr:from>
    <xdr:to>
      <xdr:col>20</xdr:col>
      <xdr:colOff>114301</xdr:colOff>
      <xdr:row>54</xdr:row>
      <xdr:rowOff>190500</xdr:rowOff>
    </xdr:to>
    <xdr:cxnSp macro="">
      <xdr:nvCxnSpPr>
        <xdr:cNvPr id="353" name="Straight Connector 352"/>
        <xdr:cNvCxnSpPr/>
      </xdr:nvCxnSpPr>
      <xdr:spPr>
        <a:xfrm flipH="1">
          <a:off x="6515100" y="12849225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56</xdr:row>
      <xdr:rowOff>19050</xdr:rowOff>
    </xdr:from>
    <xdr:to>
      <xdr:col>2</xdr:col>
      <xdr:colOff>114301</xdr:colOff>
      <xdr:row>56</xdr:row>
      <xdr:rowOff>190500</xdr:rowOff>
    </xdr:to>
    <xdr:cxnSp macro="">
      <xdr:nvCxnSpPr>
        <xdr:cNvPr id="354" name="Straight Connector 353"/>
        <xdr:cNvCxnSpPr/>
      </xdr:nvCxnSpPr>
      <xdr:spPr>
        <a:xfrm flipH="1">
          <a:off x="2571750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56</xdr:row>
      <xdr:rowOff>19050</xdr:rowOff>
    </xdr:from>
    <xdr:to>
      <xdr:col>3</xdr:col>
      <xdr:colOff>114301</xdr:colOff>
      <xdr:row>56</xdr:row>
      <xdr:rowOff>190500</xdr:rowOff>
    </xdr:to>
    <xdr:cxnSp macro="">
      <xdr:nvCxnSpPr>
        <xdr:cNvPr id="355" name="Straight Connector 354"/>
        <xdr:cNvCxnSpPr/>
      </xdr:nvCxnSpPr>
      <xdr:spPr>
        <a:xfrm flipH="1">
          <a:off x="2790825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114300</xdr:colOff>
      <xdr:row>56</xdr:row>
      <xdr:rowOff>19050</xdr:rowOff>
    </xdr:from>
    <xdr:to>
      <xdr:col>4</xdr:col>
      <xdr:colOff>114301</xdr:colOff>
      <xdr:row>56</xdr:row>
      <xdr:rowOff>190500</xdr:rowOff>
    </xdr:to>
    <xdr:cxnSp macro="">
      <xdr:nvCxnSpPr>
        <xdr:cNvPr id="356" name="Straight Connector 355"/>
        <xdr:cNvCxnSpPr/>
      </xdr:nvCxnSpPr>
      <xdr:spPr>
        <a:xfrm flipH="1">
          <a:off x="3009900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56</xdr:row>
      <xdr:rowOff>19050</xdr:rowOff>
    </xdr:from>
    <xdr:to>
      <xdr:col>5</xdr:col>
      <xdr:colOff>114301</xdr:colOff>
      <xdr:row>56</xdr:row>
      <xdr:rowOff>190500</xdr:rowOff>
    </xdr:to>
    <xdr:cxnSp macro="">
      <xdr:nvCxnSpPr>
        <xdr:cNvPr id="357" name="Straight Connector 356"/>
        <xdr:cNvCxnSpPr/>
      </xdr:nvCxnSpPr>
      <xdr:spPr>
        <a:xfrm flipH="1">
          <a:off x="3228975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56</xdr:row>
      <xdr:rowOff>19050</xdr:rowOff>
    </xdr:from>
    <xdr:to>
      <xdr:col>7</xdr:col>
      <xdr:colOff>114301</xdr:colOff>
      <xdr:row>56</xdr:row>
      <xdr:rowOff>190500</xdr:rowOff>
    </xdr:to>
    <xdr:cxnSp macro="">
      <xdr:nvCxnSpPr>
        <xdr:cNvPr id="358" name="Straight Connector 357"/>
        <xdr:cNvCxnSpPr/>
      </xdr:nvCxnSpPr>
      <xdr:spPr>
        <a:xfrm flipH="1">
          <a:off x="3667125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19050</xdr:rowOff>
    </xdr:from>
    <xdr:to>
      <xdr:col>8</xdr:col>
      <xdr:colOff>114301</xdr:colOff>
      <xdr:row>56</xdr:row>
      <xdr:rowOff>190500</xdr:rowOff>
    </xdr:to>
    <xdr:cxnSp macro="">
      <xdr:nvCxnSpPr>
        <xdr:cNvPr id="359" name="Straight Connector 358"/>
        <xdr:cNvCxnSpPr/>
      </xdr:nvCxnSpPr>
      <xdr:spPr>
        <a:xfrm flipH="1">
          <a:off x="3886200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56</xdr:row>
      <xdr:rowOff>19050</xdr:rowOff>
    </xdr:from>
    <xdr:to>
      <xdr:col>9</xdr:col>
      <xdr:colOff>114301</xdr:colOff>
      <xdr:row>56</xdr:row>
      <xdr:rowOff>190500</xdr:rowOff>
    </xdr:to>
    <xdr:cxnSp macro="">
      <xdr:nvCxnSpPr>
        <xdr:cNvPr id="360" name="Straight Connector 359"/>
        <xdr:cNvCxnSpPr/>
      </xdr:nvCxnSpPr>
      <xdr:spPr>
        <a:xfrm flipH="1">
          <a:off x="4105275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56</xdr:row>
      <xdr:rowOff>19050</xdr:rowOff>
    </xdr:from>
    <xdr:to>
      <xdr:col>10</xdr:col>
      <xdr:colOff>114301</xdr:colOff>
      <xdr:row>56</xdr:row>
      <xdr:rowOff>190500</xdr:rowOff>
    </xdr:to>
    <xdr:cxnSp macro="">
      <xdr:nvCxnSpPr>
        <xdr:cNvPr id="361" name="Straight Connector 360"/>
        <xdr:cNvCxnSpPr/>
      </xdr:nvCxnSpPr>
      <xdr:spPr>
        <a:xfrm flipH="1">
          <a:off x="4324350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56</xdr:row>
      <xdr:rowOff>19050</xdr:rowOff>
    </xdr:from>
    <xdr:to>
      <xdr:col>12</xdr:col>
      <xdr:colOff>114301</xdr:colOff>
      <xdr:row>56</xdr:row>
      <xdr:rowOff>190500</xdr:rowOff>
    </xdr:to>
    <xdr:cxnSp macro="">
      <xdr:nvCxnSpPr>
        <xdr:cNvPr id="362" name="Straight Connector 361"/>
        <xdr:cNvCxnSpPr/>
      </xdr:nvCxnSpPr>
      <xdr:spPr>
        <a:xfrm flipH="1">
          <a:off x="4762500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114300</xdr:colOff>
      <xdr:row>56</xdr:row>
      <xdr:rowOff>19050</xdr:rowOff>
    </xdr:from>
    <xdr:to>
      <xdr:col>13</xdr:col>
      <xdr:colOff>114301</xdr:colOff>
      <xdr:row>56</xdr:row>
      <xdr:rowOff>190500</xdr:rowOff>
    </xdr:to>
    <xdr:cxnSp macro="">
      <xdr:nvCxnSpPr>
        <xdr:cNvPr id="363" name="Straight Connector 362"/>
        <xdr:cNvCxnSpPr/>
      </xdr:nvCxnSpPr>
      <xdr:spPr>
        <a:xfrm flipH="1">
          <a:off x="4981575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114300</xdr:colOff>
      <xdr:row>56</xdr:row>
      <xdr:rowOff>19050</xdr:rowOff>
    </xdr:from>
    <xdr:to>
      <xdr:col>14</xdr:col>
      <xdr:colOff>114301</xdr:colOff>
      <xdr:row>56</xdr:row>
      <xdr:rowOff>190500</xdr:rowOff>
    </xdr:to>
    <xdr:cxnSp macro="">
      <xdr:nvCxnSpPr>
        <xdr:cNvPr id="364" name="Straight Connector 363"/>
        <xdr:cNvCxnSpPr/>
      </xdr:nvCxnSpPr>
      <xdr:spPr>
        <a:xfrm flipH="1">
          <a:off x="5200650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114300</xdr:colOff>
      <xdr:row>56</xdr:row>
      <xdr:rowOff>19050</xdr:rowOff>
    </xdr:from>
    <xdr:to>
      <xdr:col>15</xdr:col>
      <xdr:colOff>114301</xdr:colOff>
      <xdr:row>56</xdr:row>
      <xdr:rowOff>190500</xdr:rowOff>
    </xdr:to>
    <xdr:cxnSp macro="">
      <xdr:nvCxnSpPr>
        <xdr:cNvPr id="365" name="Straight Connector 364"/>
        <xdr:cNvCxnSpPr/>
      </xdr:nvCxnSpPr>
      <xdr:spPr>
        <a:xfrm flipH="1">
          <a:off x="5419725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114300</xdr:colOff>
      <xdr:row>56</xdr:row>
      <xdr:rowOff>19050</xdr:rowOff>
    </xdr:from>
    <xdr:to>
      <xdr:col>17</xdr:col>
      <xdr:colOff>114301</xdr:colOff>
      <xdr:row>56</xdr:row>
      <xdr:rowOff>190500</xdr:rowOff>
    </xdr:to>
    <xdr:cxnSp macro="">
      <xdr:nvCxnSpPr>
        <xdr:cNvPr id="366" name="Straight Connector 365"/>
        <xdr:cNvCxnSpPr/>
      </xdr:nvCxnSpPr>
      <xdr:spPr>
        <a:xfrm flipH="1">
          <a:off x="5857875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114300</xdr:colOff>
      <xdr:row>56</xdr:row>
      <xdr:rowOff>19050</xdr:rowOff>
    </xdr:from>
    <xdr:to>
      <xdr:col>18</xdr:col>
      <xdr:colOff>114301</xdr:colOff>
      <xdr:row>56</xdr:row>
      <xdr:rowOff>190500</xdr:rowOff>
    </xdr:to>
    <xdr:cxnSp macro="">
      <xdr:nvCxnSpPr>
        <xdr:cNvPr id="367" name="Straight Connector 366"/>
        <xdr:cNvCxnSpPr/>
      </xdr:nvCxnSpPr>
      <xdr:spPr>
        <a:xfrm flipH="1">
          <a:off x="6076950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114300</xdr:colOff>
      <xdr:row>56</xdr:row>
      <xdr:rowOff>19050</xdr:rowOff>
    </xdr:from>
    <xdr:to>
      <xdr:col>19</xdr:col>
      <xdr:colOff>114301</xdr:colOff>
      <xdr:row>56</xdr:row>
      <xdr:rowOff>190500</xdr:rowOff>
    </xdr:to>
    <xdr:cxnSp macro="">
      <xdr:nvCxnSpPr>
        <xdr:cNvPr id="368" name="Straight Connector 367"/>
        <xdr:cNvCxnSpPr/>
      </xdr:nvCxnSpPr>
      <xdr:spPr>
        <a:xfrm flipH="1">
          <a:off x="6296025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114300</xdr:colOff>
      <xdr:row>56</xdr:row>
      <xdr:rowOff>19050</xdr:rowOff>
    </xdr:from>
    <xdr:to>
      <xdr:col>20</xdr:col>
      <xdr:colOff>114301</xdr:colOff>
      <xdr:row>56</xdr:row>
      <xdr:rowOff>190500</xdr:rowOff>
    </xdr:to>
    <xdr:cxnSp macro="">
      <xdr:nvCxnSpPr>
        <xdr:cNvPr id="369" name="Straight Connector 368"/>
        <xdr:cNvCxnSpPr/>
      </xdr:nvCxnSpPr>
      <xdr:spPr>
        <a:xfrm flipH="1">
          <a:off x="6515100" y="13277850"/>
          <a:ext cx="1" cy="171450"/>
        </a:xfrm>
        <a:prstGeom prst="line">
          <a:avLst/>
        </a:prstGeom>
        <a:ln w="1905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N58"/>
  <sheetViews>
    <sheetView showGridLines="0" workbookViewId="0">
      <pane ySplit="4" topLeftCell="A5" activePane="bottomLeft" state="frozen"/>
      <selection pane="bottomLeft" activeCell="H3" sqref="H3"/>
    </sheetView>
  </sheetViews>
  <sheetFormatPr defaultRowHeight="15"/>
  <cols>
    <col min="1" max="1" width="33.28515625" style="2" customWidth="1"/>
    <col min="2" max="2" width="3.5703125" customWidth="1"/>
    <col min="3" max="21" width="3.28515625" style="1" customWidth="1"/>
    <col min="22" max="22" width="8.140625" customWidth="1"/>
    <col min="23" max="23" width="8.28515625" customWidth="1"/>
    <col min="24" max="24" width="8.42578125" customWidth="1"/>
  </cols>
  <sheetData>
    <row r="1" spans="1:40" ht="18.75">
      <c r="A1" s="45" t="s">
        <v>43</v>
      </c>
      <c r="B1" s="32"/>
      <c r="C1" s="33"/>
      <c r="D1" s="92" t="s">
        <v>8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33"/>
      <c r="U1" s="33"/>
      <c r="V1" s="32"/>
      <c r="W1" s="32"/>
      <c r="X1" s="32"/>
      <c r="Y1" s="32"/>
      <c r="Z1" s="32"/>
      <c r="AA1" s="32"/>
      <c r="AB1" s="32"/>
      <c r="AC1" s="32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</row>
    <row r="2" spans="1:40" ht="18.75">
      <c r="A2" s="44" t="s">
        <v>61</v>
      </c>
      <c r="B2" s="105" t="s">
        <v>18</v>
      </c>
      <c r="C2" s="106"/>
      <c r="D2" s="35" t="str">
        <f>"0"</f>
        <v>0</v>
      </c>
      <c r="E2" s="36" t="str">
        <f t="shared" ref="E2:S2" si="0">DEC2HEX(HEX2DEC(D2)+1)</f>
        <v>1</v>
      </c>
      <c r="F2" s="36" t="str">
        <f t="shared" si="0"/>
        <v>2</v>
      </c>
      <c r="G2" s="36" t="str">
        <f t="shared" si="0"/>
        <v>3</v>
      </c>
      <c r="H2" s="36" t="str">
        <f t="shared" si="0"/>
        <v>4</v>
      </c>
      <c r="I2" s="36" t="str">
        <f t="shared" si="0"/>
        <v>5</v>
      </c>
      <c r="J2" s="36" t="str">
        <f t="shared" si="0"/>
        <v>6</v>
      </c>
      <c r="K2" s="36" t="str">
        <f t="shared" si="0"/>
        <v>7</v>
      </c>
      <c r="L2" s="36" t="str">
        <f t="shared" si="0"/>
        <v>8</v>
      </c>
      <c r="M2" s="36" t="str">
        <f t="shared" si="0"/>
        <v>9</v>
      </c>
      <c r="N2" s="36" t="str">
        <f t="shared" si="0"/>
        <v>A</v>
      </c>
      <c r="O2" s="36" t="str">
        <f t="shared" si="0"/>
        <v>B</v>
      </c>
      <c r="P2" s="36" t="str">
        <f t="shared" si="0"/>
        <v>C</v>
      </c>
      <c r="Q2" s="36" t="str">
        <f t="shared" si="0"/>
        <v>D</v>
      </c>
      <c r="R2" s="36" t="str">
        <f t="shared" si="0"/>
        <v>E</v>
      </c>
      <c r="S2" s="37" t="str">
        <f t="shared" si="0"/>
        <v>F</v>
      </c>
      <c r="T2" s="33"/>
      <c r="U2" s="33"/>
      <c r="V2" s="32"/>
      <c r="W2" s="32"/>
      <c r="X2" s="32"/>
      <c r="Y2" s="32"/>
      <c r="Z2" s="32"/>
      <c r="AA2" s="32"/>
      <c r="AB2" s="32"/>
      <c r="AC2" s="32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</row>
    <row r="3" spans="1:40" ht="18.75">
      <c r="A3" s="31"/>
      <c r="B3" s="107" t="s">
        <v>19</v>
      </c>
      <c r="C3" s="108"/>
      <c r="D3" s="38">
        <v>4</v>
      </c>
      <c r="E3" s="39">
        <v>2</v>
      </c>
      <c r="F3" s="39">
        <v>0</v>
      </c>
      <c r="G3" s="39" t="s">
        <v>7</v>
      </c>
      <c r="H3" s="39" t="s">
        <v>2</v>
      </c>
      <c r="I3" s="39" t="s">
        <v>4</v>
      </c>
      <c r="J3" s="39" t="s">
        <v>5</v>
      </c>
      <c r="K3" s="39" t="s">
        <v>6</v>
      </c>
      <c r="L3" s="39">
        <v>7</v>
      </c>
      <c r="M3" s="39">
        <v>1</v>
      </c>
      <c r="N3" s="39">
        <v>8</v>
      </c>
      <c r="O3" s="39" t="s">
        <v>3</v>
      </c>
      <c r="P3" s="39">
        <v>6</v>
      </c>
      <c r="Q3" s="39">
        <v>5</v>
      </c>
      <c r="R3" s="39">
        <v>9</v>
      </c>
      <c r="S3" s="40">
        <v>3</v>
      </c>
      <c r="T3" s="33"/>
      <c r="U3" s="33"/>
      <c r="V3" s="32" t="s">
        <v>40</v>
      </c>
      <c r="W3" s="32"/>
      <c r="X3" s="32"/>
      <c r="Y3" s="32"/>
      <c r="Z3" s="32"/>
      <c r="AA3" s="32"/>
      <c r="AB3" s="32"/>
      <c r="AC3" s="32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</row>
    <row r="4" spans="1:40" ht="12.75" customHeight="1">
      <c r="A4" s="41"/>
      <c r="B4" s="42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34"/>
    </row>
    <row r="5" spans="1:40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40" ht="18.75">
      <c r="C6" s="8"/>
      <c r="D6" s="91" t="s">
        <v>20</v>
      </c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8"/>
      <c r="U6" s="8"/>
    </row>
    <row r="8" spans="1:40" ht="18">
      <c r="D8" s="93" t="s">
        <v>10</v>
      </c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V8" s="95" t="s">
        <v>17</v>
      </c>
      <c r="W8" s="95"/>
      <c r="X8" s="95"/>
      <c r="Y8" s="95"/>
      <c r="Z8" s="95"/>
      <c r="AA8" s="95"/>
    </row>
    <row r="9" spans="1:40" ht="15.75">
      <c r="C9" s="6"/>
      <c r="D9" s="10">
        <v>0</v>
      </c>
      <c r="E9" s="10" t="str">
        <f>DEC2HEX(HEX2DEC(D9)+1)</f>
        <v>1</v>
      </c>
      <c r="F9" s="10" t="str">
        <f t="shared" ref="F9:S9" si="1">DEC2HEX(HEX2DEC(E9)+1)</f>
        <v>2</v>
      </c>
      <c r="G9" s="10" t="str">
        <f t="shared" si="1"/>
        <v>3</v>
      </c>
      <c r="H9" s="10" t="str">
        <f t="shared" si="1"/>
        <v>4</v>
      </c>
      <c r="I9" s="10" t="str">
        <f t="shared" si="1"/>
        <v>5</v>
      </c>
      <c r="J9" s="10" t="str">
        <f t="shared" si="1"/>
        <v>6</v>
      </c>
      <c r="K9" s="10" t="str">
        <f t="shared" si="1"/>
        <v>7</v>
      </c>
      <c r="L9" s="10" t="str">
        <f t="shared" si="1"/>
        <v>8</v>
      </c>
      <c r="M9" s="10" t="str">
        <f t="shared" si="1"/>
        <v>9</v>
      </c>
      <c r="N9" s="10" t="str">
        <f t="shared" si="1"/>
        <v>A</v>
      </c>
      <c r="O9" s="10" t="str">
        <f t="shared" si="1"/>
        <v>B</v>
      </c>
      <c r="P9" s="10" t="str">
        <f t="shared" si="1"/>
        <v>C</v>
      </c>
      <c r="Q9" s="10" t="str">
        <f t="shared" si="1"/>
        <v>D</v>
      </c>
      <c r="R9" s="10" t="str">
        <f t="shared" si="1"/>
        <v>E</v>
      </c>
      <c r="S9" s="10" t="str">
        <f t="shared" si="1"/>
        <v>F</v>
      </c>
      <c r="V9" s="12" t="s">
        <v>13</v>
      </c>
      <c r="W9" s="12" t="s">
        <v>11</v>
      </c>
      <c r="X9" s="14" t="s">
        <v>12</v>
      </c>
      <c r="Y9" s="15" t="s">
        <v>14</v>
      </c>
      <c r="Z9" s="12" t="s">
        <v>15</v>
      </c>
      <c r="AA9" s="12" t="s">
        <v>16</v>
      </c>
    </row>
    <row r="10" spans="1:40" ht="15.75">
      <c r="A10" s="2" t="s">
        <v>9</v>
      </c>
      <c r="B10" s="94" t="s">
        <v>12</v>
      </c>
      <c r="C10" s="10">
        <v>0</v>
      </c>
      <c r="D10" s="9">
        <f>CountXORoutputsOf(HEX2DEC($C10), HEX2DEC(D$9), $D$2:$S$3)</f>
        <v>16</v>
      </c>
      <c r="E10" s="9">
        <f t="shared" ref="E10:S25" si="2">CountXORoutputsOf(HEX2DEC($C10), HEX2DEC(E$9), $D$2:$S$3)</f>
        <v>0</v>
      </c>
      <c r="F10" s="9">
        <f t="shared" si="2"/>
        <v>0</v>
      </c>
      <c r="G10" s="9">
        <f t="shared" si="2"/>
        <v>0</v>
      </c>
      <c r="H10" s="9">
        <f t="shared" si="2"/>
        <v>0</v>
      </c>
      <c r="I10" s="9">
        <f t="shared" si="2"/>
        <v>0</v>
      </c>
      <c r="J10" s="9">
        <f t="shared" si="2"/>
        <v>0</v>
      </c>
      <c r="K10" s="9">
        <f t="shared" si="2"/>
        <v>0</v>
      </c>
      <c r="L10" s="9">
        <f t="shared" si="2"/>
        <v>0</v>
      </c>
      <c r="M10" s="9">
        <f t="shared" si="2"/>
        <v>0</v>
      </c>
      <c r="N10" s="9">
        <f t="shared" si="2"/>
        <v>0</v>
      </c>
      <c r="O10" s="9">
        <f t="shared" si="2"/>
        <v>0</v>
      </c>
      <c r="P10" s="9">
        <f t="shared" si="2"/>
        <v>0</v>
      </c>
      <c r="Q10" s="9">
        <f t="shared" si="2"/>
        <v>0</v>
      </c>
      <c r="R10" s="9">
        <f t="shared" si="2"/>
        <v>0</v>
      </c>
      <c r="S10" s="9">
        <f t="shared" si="2"/>
        <v>0</v>
      </c>
      <c r="V10" s="13" t="str">
        <f>Dec2BinHex(0)</f>
        <v>0000 (0)</v>
      </c>
      <c r="W10" s="13" t="str">
        <f>Dec2BinHex(BitXOR(11, BinHex2Dec(V10)))</f>
        <v>1011 (B)</v>
      </c>
      <c r="X10" s="14" t="str">
        <f>Dec2BinHex(BitXOR(BinHex2Dec(V10),BinHex2Dec(W10)))</f>
        <v>1011 (B)</v>
      </c>
      <c r="Y10" s="16" t="str">
        <f>Dec2BinHex(DoSubst(BinHex2Dec(V10), $D$2:$S$3))</f>
        <v>0100 (4)</v>
      </c>
      <c r="Z10" s="13" t="str">
        <f>Dec2BinHex(DoSubst(BinHex2Dec(W10), $D$2:$S$3))</f>
        <v>1011 (B)</v>
      </c>
      <c r="AA10" s="12" t="str">
        <f>Dec2BinHex(BitXOR(BinHex2Dec(Y10),BinHex2Dec(Z10)))</f>
        <v>1111 (F)</v>
      </c>
      <c r="AB10" s="27" t="str">
        <f>IF(BinHex2Dec(AA10)=MATCH(MAX(D$21:S$21),D$21:S$21,0)-1, "←", " ")</f>
        <v xml:space="preserve"> </v>
      </c>
    </row>
    <row r="11" spans="1:40" ht="15.75">
      <c r="B11" s="94"/>
      <c r="C11" s="10" t="str">
        <f>DEC2HEX(HEX2DEC(C10)+1)</f>
        <v>1</v>
      </c>
      <c r="D11" s="9">
        <f t="shared" ref="D11:D25" si="3">CountXORoutputsOf(HEX2DEC($C11), HEX2DEC(D$9), $D$2:$S$3)</f>
        <v>0</v>
      </c>
      <c r="E11" s="9">
        <f t="shared" si="2"/>
        <v>0</v>
      </c>
      <c r="F11" s="9">
        <f t="shared" si="2"/>
        <v>0</v>
      </c>
      <c r="G11" s="9">
        <f t="shared" si="2"/>
        <v>6</v>
      </c>
      <c r="H11" s="9">
        <f t="shared" si="2"/>
        <v>0</v>
      </c>
      <c r="I11" s="9">
        <f t="shared" si="2"/>
        <v>2</v>
      </c>
      <c r="J11" s="9">
        <f t="shared" si="2"/>
        <v>4</v>
      </c>
      <c r="K11" s="9">
        <f t="shared" si="2"/>
        <v>0</v>
      </c>
      <c r="L11" s="9">
        <f t="shared" si="2"/>
        <v>0</v>
      </c>
      <c r="M11" s="9">
        <f t="shared" si="2"/>
        <v>0</v>
      </c>
      <c r="N11" s="9">
        <f t="shared" si="2"/>
        <v>2</v>
      </c>
      <c r="O11" s="9">
        <f t="shared" si="2"/>
        <v>0</v>
      </c>
      <c r="P11" s="9">
        <f t="shared" si="2"/>
        <v>2</v>
      </c>
      <c r="Q11" s="9">
        <f t="shared" si="2"/>
        <v>0</v>
      </c>
      <c r="R11" s="9">
        <f t="shared" si="2"/>
        <v>0</v>
      </c>
      <c r="S11" s="9">
        <f t="shared" si="2"/>
        <v>0</v>
      </c>
      <c r="V11" s="13" t="str">
        <f>Dec2BinHex(BinHex2Dec(V10)+1)</f>
        <v>0001 (1)</v>
      </c>
      <c r="W11" s="13" t="str">
        <f>Dec2BinHex(BitXOR(11, BinHex2Dec(V11)))</f>
        <v>1010 (A)</v>
      </c>
      <c r="X11" s="14" t="str">
        <f>Dec2BinHex(BitXOR(BinHex2Dec(V11),BinHex2Dec(W11)))</f>
        <v>1011 (B)</v>
      </c>
      <c r="Y11" s="16" t="str">
        <f>Dec2BinHex(DoSubst(BinHex2Dec(V11), $D$2:$S$3))</f>
        <v>0010 (2)</v>
      </c>
      <c r="Z11" s="13" t="str">
        <f>Dec2BinHex(DoSubst(BinHex2Dec(W11), $D$2:$S$3))</f>
        <v>1000 (8)</v>
      </c>
      <c r="AA11" s="12" t="str">
        <f>Dec2BinHex(BitXOR(BinHex2Dec(Y11),BinHex2Dec(Z11)))</f>
        <v>1010 (A)</v>
      </c>
      <c r="AB11" s="27" t="str">
        <f>IF(BinHex2Dec(AA11)=MATCH(MAX(D$21:S$21),D$21:S$21,0)-1, "←", " ")</f>
        <v xml:space="preserve"> </v>
      </c>
    </row>
    <row r="12" spans="1:40" ht="15.75">
      <c r="B12" s="94"/>
      <c r="C12" s="10" t="str">
        <f t="shared" ref="C12:C25" si="4">DEC2HEX(HEX2DEC(C11)+1)</f>
        <v>2</v>
      </c>
      <c r="D12" s="9">
        <f t="shared" si="3"/>
        <v>0</v>
      </c>
      <c r="E12" s="9">
        <f t="shared" si="2"/>
        <v>0</v>
      </c>
      <c r="F12" s="9">
        <f t="shared" si="2"/>
        <v>2</v>
      </c>
      <c r="G12" s="9">
        <f t="shared" si="2"/>
        <v>0</v>
      </c>
      <c r="H12" s="9">
        <f t="shared" si="2"/>
        <v>4</v>
      </c>
      <c r="I12" s="9">
        <f t="shared" si="2"/>
        <v>0</v>
      </c>
      <c r="J12" s="9">
        <f t="shared" si="2"/>
        <v>2</v>
      </c>
      <c r="K12" s="9">
        <f t="shared" si="2"/>
        <v>0</v>
      </c>
      <c r="L12" s="9">
        <f t="shared" si="2"/>
        <v>0</v>
      </c>
      <c r="M12" s="9">
        <f t="shared" si="2"/>
        <v>0</v>
      </c>
      <c r="N12" s="9">
        <f t="shared" si="2"/>
        <v>2</v>
      </c>
      <c r="O12" s="9">
        <f t="shared" si="2"/>
        <v>0</v>
      </c>
      <c r="P12" s="9">
        <f t="shared" si="2"/>
        <v>0</v>
      </c>
      <c r="Q12" s="9">
        <f t="shared" si="2"/>
        <v>0</v>
      </c>
      <c r="R12" s="9">
        <f t="shared" si="2"/>
        <v>2</v>
      </c>
      <c r="S12" s="9">
        <f t="shared" si="2"/>
        <v>4</v>
      </c>
      <c r="V12" s="13" t="str">
        <f>Dec2BinHex(BinHex2Dec(V11)+1)</f>
        <v>0010 (2)</v>
      </c>
      <c r="W12" s="13" t="str">
        <f>Dec2BinHex(BitXOR(11, BinHex2Dec(V12)))</f>
        <v>1001 (9)</v>
      </c>
      <c r="X12" s="14" t="str">
        <f>Dec2BinHex(BitXOR(BinHex2Dec(V12),BinHex2Dec(W12)))</f>
        <v>1011 (B)</v>
      </c>
      <c r="Y12" s="16" t="str">
        <f>Dec2BinHex(DoSubst(BinHex2Dec(V12), $D$2:$S$3))</f>
        <v>0000 (0)</v>
      </c>
      <c r="Z12" s="13" t="str">
        <f>Dec2BinHex(DoSubst(BinHex2Dec(W12), $D$2:$S$3))</f>
        <v>0001 (1)</v>
      </c>
      <c r="AA12" s="12" t="str">
        <f>Dec2BinHex(BitXOR(BinHex2Dec(Y12),BinHex2Dec(Z12)))</f>
        <v>0001 (1)</v>
      </c>
      <c r="AB12" s="27" t="str">
        <f>IF(BinHex2Dec(AA12)=MATCH(MAX(D$21:S$21),D$21:S$21,0)-1, "←", " ")</f>
        <v xml:space="preserve"> </v>
      </c>
    </row>
    <row r="13" spans="1:40" ht="15.75">
      <c r="B13" s="94"/>
      <c r="C13" s="10" t="str">
        <f t="shared" si="4"/>
        <v>3</v>
      </c>
      <c r="D13" s="9">
        <f t="shared" si="3"/>
        <v>0</v>
      </c>
      <c r="E13" s="9">
        <f t="shared" si="2"/>
        <v>2</v>
      </c>
      <c r="F13" s="9">
        <f t="shared" si="2"/>
        <v>2</v>
      </c>
      <c r="G13" s="9">
        <f t="shared" si="2"/>
        <v>0</v>
      </c>
      <c r="H13" s="9">
        <f t="shared" si="2"/>
        <v>0</v>
      </c>
      <c r="I13" s="9">
        <f t="shared" si="2"/>
        <v>2</v>
      </c>
      <c r="J13" s="9">
        <f t="shared" si="2"/>
        <v>0</v>
      </c>
      <c r="K13" s="9">
        <f t="shared" si="2"/>
        <v>2</v>
      </c>
      <c r="L13" s="9">
        <f t="shared" si="2"/>
        <v>2</v>
      </c>
      <c r="M13" s="9">
        <f t="shared" si="2"/>
        <v>2</v>
      </c>
      <c r="N13" s="9">
        <f t="shared" si="2"/>
        <v>0</v>
      </c>
      <c r="O13" s="9">
        <f t="shared" si="2"/>
        <v>0</v>
      </c>
      <c r="P13" s="9">
        <f t="shared" si="2"/>
        <v>4</v>
      </c>
      <c r="Q13" s="9">
        <f t="shared" si="2"/>
        <v>0</v>
      </c>
      <c r="R13" s="9">
        <f t="shared" si="2"/>
        <v>0</v>
      </c>
      <c r="S13" s="9">
        <f t="shared" si="2"/>
        <v>0</v>
      </c>
      <c r="V13" s="13" t="str">
        <f>Dec2BinHex(BinHex2Dec(V12)+1)</f>
        <v>0011 (3)</v>
      </c>
      <c r="W13" s="13" t="str">
        <f>Dec2BinHex(BitXOR(11, BinHex2Dec(V13)))</f>
        <v>1000 (8)</v>
      </c>
      <c r="X13" s="14" t="str">
        <f>Dec2BinHex(BitXOR(BinHex2Dec(V13),BinHex2Dec(W13)))</f>
        <v>1011 (B)</v>
      </c>
      <c r="Y13" s="16" t="str">
        <f>Dec2BinHex(DoSubst(BinHex2Dec(V13), $D$2:$S$3))</f>
        <v>1100 (C)</v>
      </c>
      <c r="Z13" s="13" t="str">
        <f>Dec2BinHex(DoSubst(BinHex2Dec(W13), $D$2:$S$3))</f>
        <v>0111 (7)</v>
      </c>
      <c r="AA13" s="12" t="str">
        <f>Dec2BinHex(BitXOR(BinHex2Dec(Y13),BinHex2Dec(Z13)))</f>
        <v>1011 (B)</v>
      </c>
      <c r="AB13" s="27" t="str">
        <f>IF(BinHex2Dec(AA13)=MATCH(MAX(D$21:S$21),D$21:S$21,0)-1, "←", " ")</f>
        <v>←</v>
      </c>
    </row>
    <row r="14" spans="1:40" ht="15.75">
      <c r="B14" s="94"/>
      <c r="C14" s="10" t="str">
        <f t="shared" si="4"/>
        <v>4</v>
      </c>
      <c r="D14" s="9">
        <f t="shared" si="3"/>
        <v>0</v>
      </c>
      <c r="E14" s="9">
        <f t="shared" si="2"/>
        <v>6</v>
      </c>
      <c r="F14" s="9">
        <f t="shared" si="2"/>
        <v>0</v>
      </c>
      <c r="G14" s="9">
        <f t="shared" si="2"/>
        <v>0</v>
      </c>
      <c r="H14" s="9">
        <f t="shared" si="2"/>
        <v>2</v>
      </c>
      <c r="I14" s="9">
        <f t="shared" si="2"/>
        <v>0</v>
      </c>
      <c r="J14" s="9">
        <f t="shared" si="2"/>
        <v>0</v>
      </c>
      <c r="K14" s="9">
        <f t="shared" si="2"/>
        <v>0</v>
      </c>
      <c r="L14" s="9">
        <f t="shared" si="2"/>
        <v>2</v>
      </c>
      <c r="M14" s="9">
        <f t="shared" si="2"/>
        <v>0</v>
      </c>
      <c r="N14" s="9">
        <f t="shared" si="2"/>
        <v>0</v>
      </c>
      <c r="O14" s="9">
        <f t="shared" si="2"/>
        <v>0</v>
      </c>
      <c r="P14" s="9">
        <f t="shared" si="2"/>
        <v>0</v>
      </c>
      <c r="Q14" s="9">
        <f t="shared" si="2"/>
        <v>2</v>
      </c>
      <c r="R14" s="9">
        <f t="shared" si="2"/>
        <v>4</v>
      </c>
      <c r="S14" s="9">
        <f t="shared" si="2"/>
        <v>0</v>
      </c>
      <c r="V14" s="13" t="str">
        <f>Dec2BinHex(BinHex2Dec(V13)+1)</f>
        <v>0100 (4)</v>
      </c>
      <c r="W14" s="13" t="str">
        <f>Dec2BinHex(BitXOR(11, BinHex2Dec(V14)))</f>
        <v>1111 (F)</v>
      </c>
      <c r="X14" s="14" t="str">
        <f>Dec2BinHex(BitXOR(BinHex2Dec(V14),BinHex2Dec(W14)))</f>
        <v>1011 (B)</v>
      </c>
      <c r="Y14" s="16" t="str">
        <f>Dec2BinHex(DoSubst(BinHex2Dec(V14), $D$2:$S$3))</f>
        <v>1010 (A)</v>
      </c>
      <c r="Z14" s="13" t="str">
        <f>Dec2BinHex(DoSubst(BinHex2Dec(W14), $D$2:$S$3))</f>
        <v>0011 (3)</v>
      </c>
      <c r="AA14" s="12" t="str">
        <f>Dec2BinHex(BitXOR(BinHex2Dec(Y14),BinHex2Dec(Z14)))</f>
        <v>1001 (9)</v>
      </c>
      <c r="AB14" s="27" t="str">
        <f>IF(BinHex2Dec(AA14)=MATCH(MAX(D$21:S$21),D$21:S$21,0)-1, "←", " ")</f>
        <v xml:space="preserve"> </v>
      </c>
    </row>
    <row r="15" spans="1:40" ht="15.75">
      <c r="B15" s="94"/>
      <c r="C15" s="10" t="str">
        <f t="shared" si="4"/>
        <v>5</v>
      </c>
      <c r="D15" s="9">
        <f t="shared" si="3"/>
        <v>0</v>
      </c>
      <c r="E15" s="9">
        <f t="shared" si="2"/>
        <v>0</v>
      </c>
      <c r="F15" s="9">
        <f t="shared" si="2"/>
        <v>6</v>
      </c>
      <c r="G15" s="9">
        <f t="shared" si="2"/>
        <v>0</v>
      </c>
      <c r="H15" s="9">
        <f t="shared" si="2"/>
        <v>0</v>
      </c>
      <c r="I15" s="9">
        <f t="shared" si="2"/>
        <v>0</v>
      </c>
      <c r="J15" s="9">
        <f t="shared" si="2"/>
        <v>0</v>
      </c>
      <c r="K15" s="9">
        <f t="shared" si="2"/>
        <v>2</v>
      </c>
      <c r="L15" s="9">
        <f t="shared" si="2"/>
        <v>2</v>
      </c>
      <c r="M15" s="9">
        <f t="shared" si="2"/>
        <v>0</v>
      </c>
      <c r="N15" s="9">
        <f t="shared" si="2"/>
        <v>0</v>
      </c>
      <c r="O15" s="9">
        <f t="shared" si="2"/>
        <v>4</v>
      </c>
      <c r="P15" s="9">
        <f t="shared" si="2"/>
        <v>0</v>
      </c>
      <c r="Q15" s="9">
        <f t="shared" si="2"/>
        <v>2</v>
      </c>
      <c r="R15" s="9">
        <f t="shared" si="2"/>
        <v>0</v>
      </c>
      <c r="S15" s="9">
        <f t="shared" si="2"/>
        <v>0</v>
      </c>
      <c r="V15" s="13" t="str">
        <f>Dec2BinHex(BinHex2Dec(V14)+1)</f>
        <v>0101 (5)</v>
      </c>
      <c r="W15" s="13" t="str">
        <f>Dec2BinHex(BitXOR(11, BinHex2Dec(V15)))</f>
        <v>1110 (E)</v>
      </c>
      <c r="X15" s="14" t="str">
        <f>Dec2BinHex(BitXOR(BinHex2Dec(V15),BinHex2Dec(W15)))</f>
        <v>1011 (B)</v>
      </c>
      <c r="Y15" s="16" t="str">
        <f>Dec2BinHex(DoSubst(BinHex2Dec(V15), $D$2:$S$3))</f>
        <v>1111 (F)</v>
      </c>
      <c r="Z15" s="13" t="str">
        <f>Dec2BinHex(DoSubst(BinHex2Dec(W15), $D$2:$S$3))</f>
        <v>1001 (9)</v>
      </c>
      <c r="AA15" s="12" t="str">
        <f>Dec2BinHex(BitXOR(BinHex2Dec(Y15),BinHex2Dec(Z15)))</f>
        <v>0110 (6)</v>
      </c>
      <c r="AB15" s="27" t="str">
        <f>IF(BinHex2Dec(AA15)=MATCH(MAX(D$21:S$21),D$21:S$21,0)-1, "←", " ")</f>
        <v xml:space="preserve"> </v>
      </c>
    </row>
    <row r="16" spans="1:40" ht="15.75">
      <c r="B16" s="94"/>
      <c r="C16" s="10" t="str">
        <f t="shared" si="4"/>
        <v>6</v>
      </c>
      <c r="D16" s="9">
        <f t="shared" si="3"/>
        <v>0</v>
      </c>
      <c r="E16" s="9">
        <f t="shared" si="2"/>
        <v>0</v>
      </c>
      <c r="F16" s="9">
        <f t="shared" si="2"/>
        <v>2</v>
      </c>
      <c r="G16" s="9">
        <f t="shared" si="2"/>
        <v>2</v>
      </c>
      <c r="H16" s="9">
        <f t="shared" si="2"/>
        <v>0</v>
      </c>
      <c r="I16" s="9">
        <f t="shared" si="2"/>
        <v>0</v>
      </c>
      <c r="J16" s="9">
        <f t="shared" si="2"/>
        <v>0</v>
      </c>
      <c r="K16" s="9">
        <f t="shared" si="2"/>
        <v>0</v>
      </c>
      <c r="L16" s="9">
        <f t="shared" si="2"/>
        <v>0</v>
      </c>
      <c r="M16" s="9">
        <f t="shared" si="2"/>
        <v>0</v>
      </c>
      <c r="N16" s="9">
        <f t="shared" si="2"/>
        <v>4</v>
      </c>
      <c r="O16" s="9">
        <f t="shared" si="2"/>
        <v>0</v>
      </c>
      <c r="P16" s="9">
        <f t="shared" si="2"/>
        <v>0</v>
      </c>
      <c r="Q16" s="9">
        <f t="shared" si="2"/>
        <v>0</v>
      </c>
      <c r="R16" s="9">
        <f t="shared" si="2"/>
        <v>6</v>
      </c>
      <c r="S16" s="9">
        <f t="shared" si="2"/>
        <v>2</v>
      </c>
      <c r="V16" s="13" t="str">
        <f>Dec2BinHex(BinHex2Dec(V15)+1)</f>
        <v>0110 (6)</v>
      </c>
      <c r="W16" s="13" t="str">
        <f>Dec2BinHex(BitXOR(11, BinHex2Dec(V16)))</f>
        <v>1101 (D)</v>
      </c>
      <c r="X16" s="14" t="str">
        <f>Dec2BinHex(BitXOR(BinHex2Dec(V16),BinHex2Dec(W16)))</f>
        <v>1011 (B)</v>
      </c>
      <c r="Y16" s="16" t="str">
        <f>Dec2BinHex(DoSubst(BinHex2Dec(V16), $D$2:$S$3))</f>
        <v>1110 (E)</v>
      </c>
      <c r="Z16" s="13" t="str">
        <f>Dec2BinHex(DoSubst(BinHex2Dec(W16), $D$2:$S$3))</f>
        <v>0101 (5)</v>
      </c>
      <c r="AA16" s="12" t="str">
        <f>Dec2BinHex(BitXOR(BinHex2Dec(Y16),BinHex2Dec(Z16)))</f>
        <v>1011 (B)</v>
      </c>
      <c r="AB16" s="27" t="str">
        <f>IF(BinHex2Dec(AA16)=MATCH(MAX(D$21:S$21),D$21:S$21,0)-1, "←", " ")</f>
        <v>←</v>
      </c>
    </row>
    <row r="17" spans="1:28" ht="15.75">
      <c r="B17" s="94"/>
      <c r="C17" s="10" t="str">
        <f t="shared" si="4"/>
        <v>7</v>
      </c>
      <c r="D17" s="9">
        <f t="shared" si="3"/>
        <v>0</v>
      </c>
      <c r="E17" s="9">
        <f t="shared" si="2"/>
        <v>0</v>
      </c>
      <c r="F17" s="9">
        <f t="shared" si="2"/>
        <v>0</v>
      </c>
      <c r="G17" s="9">
        <f t="shared" si="2"/>
        <v>0</v>
      </c>
      <c r="H17" s="9">
        <f t="shared" si="2"/>
        <v>2</v>
      </c>
      <c r="I17" s="9">
        <f t="shared" si="2"/>
        <v>0</v>
      </c>
      <c r="J17" s="9">
        <f t="shared" si="2"/>
        <v>2</v>
      </c>
      <c r="K17" s="9">
        <f t="shared" si="2"/>
        <v>0</v>
      </c>
      <c r="L17" s="9">
        <f t="shared" si="2"/>
        <v>2</v>
      </c>
      <c r="M17" s="9">
        <f t="shared" si="2"/>
        <v>2</v>
      </c>
      <c r="N17" s="9">
        <f t="shared" si="2"/>
        <v>0</v>
      </c>
      <c r="O17" s="9">
        <f t="shared" si="2"/>
        <v>0</v>
      </c>
      <c r="P17" s="9">
        <f t="shared" si="2"/>
        <v>2</v>
      </c>
      <c r="Q17" s="9">
        <f t="shared" si="2"/>
        <v>4</v>
      </c>
      <c r="R17" s="9">
        <f t="shared" si="2"/>
        <v>0</v>
      </c>
      <c r="S17" s="9">
        <f t="shared" si="2"/>
        <v>2</v>
      </c>
      <c r="V17" s="13" t="str">
        <f>Dec2BinHex(BinHex2Dec(V16)+1)</f>
        <v>0111 (7)</v>
      </c>
      <c r="W17" s="13" t="str">
        <f>Dec2BinHex(BitXOR(11, BinHex2Dec(V17)))</f>
        <v>1100 (C)</v>
      </c>
      <c r="X17" s="14" t="str">
        <f>Dec2BinHex(BitXOR(BinHex2Dec(V17),BinHex2Dec(W17)))</f>
        <v>1011 (B)</v>
      </c>
      <c r="Y17" s="16" t="str">
        <f>Dec2BinHex(DoSubst(BinHex2Dec(V17), $D$2:$S$3))</f>
        <v>1101 (D)</v>
      </c>
      <c r="Z17" s="13" t="str">
        <f>Dec2BinHex(DoSubst(BinHex2Dec(W17), $D$2:$S$3))</f>
        <v>0110 (6)</v>
      </c>
      <c r="AA17" s="12" t="str">
        <f>Dec2BinHex(BitXOR(BinHex2Dec(Y17),BinHex2Dec(Z17)))</f>
        <v>1011 (B)</v>
      </c>
      <c r="AB17" s="27" t="str">
        <f>IF(BinHex2Dec(AA17)=MATCH(MAX(D$21:S$21),D$21:S$21,0)-1, "←", " ")</f>
        <v>←</v>
      </c>
    </row>
    <row r="18" spans="1:28" ht="15.75">
      <c r="B18" s="94"/>
      <c r="C18" s="10" t="str">
        <f t="shared" si="4"/>
        <v>8</v>
      </c>
      <c r="D18" s="9">
        <f t="shared" si="3"/>
        <v>0</v>
      </c>
      <c r="E18" s="9">
        <f t="shared" si="2"/>
        <v>0</v>
      </c>
      <c r="F18" s="9">
        <f t="shared" si="2"/>
        <v>0</v>
      </c>
      <c r="G18" s="9">
        <f t="shared" si="2"/>
        <v>4</v>
      </c>
      <c r="H18" s="9">
        <f t="shared" si="2"/>
        <v>0</v>
      </c>
      <c r="I18" s="9">
        <f t="shared" si="2"/>
        <v>0</v>
      </c>
      <c r="J18" s="9">
        <f t="shared" si="2"/>
        <v>0</v>
      </c>
      <c r="K18" s="9">
        <f t="shared" si="2"/>
        <v>4</v>
      </c>
      <c r="L18" s="9">
        <f t="shared" si="2"/>
        <v>2</v>
      </c>
      <c r="M18" s="9">
        <f t="shared" si="2"/>
        <v>0</v>
      </c>
      <c r="N18" s="9">
        <f t="shared" si="2"/>
        <v>2</v>
      </c>
      <c r="O18" s="9">
        <f t="shared" si="2"/>
        <v>0</v>
      </c>
      <c r="P18" s="9">
        <f t="shared" si="2"/>
        <v>2</v>
      </c>
      <c r="Q18" s="9">
        <f t="shared" si="2"/>
        <v>0</v>
      </c>
      <c r="R18" s="9">
        <f t="shared" si="2"/>
        <v>2</v>
      </c>
      <c r="S18" s="9">
        <f t="shared" si="2"/>
        <v>0</v>
      </c>
      <c r="V18" s="13" t="str">
        <f>Dec2BinHex(BinHex2Dec(V17)+1)</f>
        <v>1000 (8)</v>
      </c>
      <c r="W18" s="13" t="str">
        <f>Dec2BinHex(BitXOR(11, BinHex2Dec(V18)))</f>
        <v>0011 (3)</v>
      </c>
      <c r="X18" s="14" t="str">
        <f>Dec2BinHex(BitXOR(BinHex2Dec(V18),BinHex2Dec(W18)))</f>
        <v>1011 (B)</v>
      </c>
      <c r="Y18" s="16" t="str">
        <f>Dec2BinHex(DoSubst(BinHex2Dec(V18), $D$2:$S$3))</f>
        <v>0111 (7)</v>
      </c>
      <c r="Z18" s="13" t="str">
        <f>Dec2BinHex(DoSubst(BinHex2Dec(W18), $D$2:$S$3))</f>
        <v>1100 (C)</v>
      </c>
      <c r="AA18" s="12" t="str">
        <f>Dec2BinHex(BitXOR(BinHex2Dec(Y18),BinHex2Dec(Z18)))</f>
        <v>1011 (B)</v>
      </c>
      <c r="AB18" s="27" t="str">
        <f>IF(BinHex2Dec(AA18)=MATCH(MAX(D$21:S$21),D$21:S$21,0)-1, "←", " ")</f>
        <v>←</v>
      </c>
    </row>
    <row r="19" spans="1:28" ht="15.75">
      <c r="B19" s="94"/>
      <c r="C19" s="10" t="str">
        <f t="shared" si="4"/>
        <v>9</v>
      </c>
      <c r="D19" s="9">
        <f t="shared" si="3"/>
        <v>0</v>
      </c>
      <c r="E19" s="9">
        <f t="shared" si="2"/>
        <v>0</v>
      </c>
      <c r="F19" s="9">
        <f t="shared" si="2"/>
        <v>0</v>
      </c>
      <c r="G19" s="9">
        <f t="shared" si="2"/>
        <v>0</v>
      </c>
      <c r="H19" s="9">
        <f t="shared" si="2"/>
        <v>4</v>
      </c>
      <c r="I19" s="9">
        <f t="shared" si="2"/>
        <v>4</v>
      </c>
      <c r="J19" s="9">
        <f t="shared" si="2"/>
        <v>0</v>
      </c>
      <c r="K19" s="9">
        <f t="shared" si="2"/>
        <v>0</v>
      </c>
      <c r="L19" s="9">
        <f t="shared" si="2"/>
        <v>0</v>
      </c>
      <c r="M19" s="9">
        <f t="shared" si="2"/>
        <v>2</v>
      </c>
      <c r="N19" s="9">
        <f t="shared" si="2"/>
        <v>0</v>
      </c>
      <c r="O19" s="9">
        <f t="shared" si="2"/>
        <v>2</v>
      </c>
      <c r="P19" s="9">
        <f t="shared" si="2"/>
        <v>0</v>
      </c>
      <c r="Q19" s="9">
        <f t="shared" si="2"/>
        <v>2</v>
      </c>
      <c r="R19" s="9">
        <f t="shared" si="2"/>
        <v>0</v>
      </c>
      <c r="S19" s="9">
        <f t="shared" si="2"/>
        <v>2</v>
      </c>
      <c r="V19" s="13" t="str">
        <f>Dec2BinHex(BinHex2Dec(V18)+1)</f>
        <v>1001 (9)</v>
      </c>
      <c r="W19" s="13" t="str">
        <f>Dec2BinHex(BitXOR(11, BinHex2Dec(V19)))</f>
        <v>0010 (2)</v>
      </c>
      <c r="X19" s="14" t="str">
        <f>Dec2BinHex(BitXOR(BinHex2Dec(V19),BinHex2Dec(W19)))</f>
        <v>1011 (B)</v>
      </c>
      <c r="Y19" s="16" t="str">
        <f>Dec2BinHex(DoSubst(BinHex2Dec(V19), $D$2:$S$3))</f>
        <v>0001 (1)</v>
      </c>
      <c r="Z19" s="13" t="str">
        <f>Dec2BinHex(DoSubst(BinHex2Dec(W19), $D$2:$S$3))</f>
        <v>0000 (0)</v>
      </c>
      <c r="AA19" s="12" t="str">
        <f>Dec2BinHex(BitXOR(BinHex2Dec(Y19),BinHex2Dec(Z19)))</f>
        <v>0001 (1)</v>
      </c>
      <c r="AB19" s="27" t="str">
        <f>IF(BinHex2Dec(AA19)=MATCH(MAX(D$21:S$21),D$21:S$21,0)-1, "←", " ")</f>
        <v xml:space="preserve"> </v>
      </c>
    </row>
    <row r="20" spans="1:28" ht="15.75">
      <c r="B20" s="94"/>
      <c r="C20" s="10" t="str">
        <f t="shared" si="4"/>
        <v>A</v>
      </c>
      <c r="D20" s="9">
        <f t="shared" si="3"/>
        <v>0</v>
      </c>
      <c r="E20" s="9">
        <f t="shared" si="2"/>
        <v>0</v>
      </c>
      <c r="F20" s="9">
        <f t="shared" si="2"/>
        <v>0</v>
      </c>
      <c r="G20" s="9">
        <f t="shared" si="2"/>
        <v>2</v>
      </c>
      <c r="H20" s="9">
        <f t="shared" si="2"/>
        <v>0</v>
      </c>
      <c r="I20" s="9">
        <f t="shared" si="2"/>
        <v>0</v>
      </c>
      <c r="J20" s="9">
        <f t="shared" si="2"/>
        <v>0</v>
      </c>
      <c r="K20" s="9">
        <f t="shared" si="2"/>
        <v>2</v>
      </c>
      <c r="L20" s="9">
        <f t="shared" si="2"/>
        <v>4</v>
      </c>
      <c r="M20" s="9">
        <f t="shared" si="2"/>
        <v>2</v>
      </c>
      <c r="N20" s="9">
        <f t="shared" si="2"/>
        <v>0</v>
      </c>
      <c r="O20" s="9">
        <f t="shared" si="2"/>
        <v>0</v>
      </c>
      <c r="P20" s="9">
        <f t="shared" si="2"/>
        <v>4</v>
      </c>
      <c r="Q20" s="9">
        <f t="shared" si="2"/>
        <v>2</v>
      </c>
      <c r="R20" s="9">
        <f t="shared" si="2"/>
        <v>0</v>
      </c>
      <c r="S20" s="9">
        <f t="shared" si="2"/>
        <v>0</v>
      </c>
      <c r="V20" s="13" t="str">
        <f>Dec2BinHex(BinHex2Dec(V19)+1)</f>
        <v>1010 (A)</v>
      </c>
      <c r="W20" s="13" t="str">
        <f>Dec2BinHex(BitXOR(11, BinHex2Dec(V20)))</f>
        <v>0001 (1)</v>
      </c>
      <c r="X20" s="14" t="str">
        <f>Dec2BinHex(BitXOR(BinHex2Dec(V20),BinHex2Dec(W20)))</f>
        <v>1011 (B)</v>
      </c>
      <c r="Y20" s="16" t="str">
        <f>Dec2BinHex(DoSubst(BinHex2Dec(V20), $D$2:$S$3))</f>
        <v>1000 (8)</v>
      </c>
      <c r="Z20" s="13" t="str">
        <f>Dec2BinHex(DoSubst(BinHex2Dec(W20), $D$2:$S$3))</f>
        <v>0010 (2)</v>
      </c>
      <c r="AA20" s="12" t="str">
        <f>Dec2BinHex(BitXOR(BinHex2Dec(Y20),BinHex2Dec(Z20)))</f>
        <v>1010 (A)</v>
      </c>
      <c r="AB20" s="27" t="str">
        <f>IF(BinHex2Dec(AA20)=MATCH(MAX(D$21:S$21),D$21:S$21,0)-1, "←", " ")</f>
        <v xml:space="preserve"> </v>
      </c>
    </row>
    <row r="21" spans="1:28" ht="15.75">
      <c r="B21" s="94"/>
      <c r="C21" s="10" t="str">
        <f t="shared" si="4"/>
        <v>B</v>
      </c>
      <c r="D21" s="11">
        <f t="shared" si="3"/>
        <v>0</v>
      </c>
      <c r="E21" s="11">
        <f t="shared" si="2"/>
        <v>2</v>
      </c>
      <c r="F21" s="11">
        <f t="shared" si="2"/>
        <v>0</v>
      </c>
      <c r="G21" s="11">
        <f t="shared" si="2"/>
        <v>0</v>
      </c>
      <c r="H21" s="11">
        <f t="shared" si="2"/>
        <v>0</v>
      </c>
      <c r="I21" s="11">
        <f t="shared" si="2"/>
        <v>0</v>
      </c>
      <c r="J21" s="11">
        <f t="shared" si="2"/>
        <v>2</v>
      </c>
      <c r="K21" s="11">
        <f t="shared" si="2"/>
        <v>0</v>
      </c>
      <c r="L21" s="11">
        <f t="shared" si="2"/>
        <v>0</v>
      </c>
      <c r="M21" s="11">
        <f t="shared" si="2"/>
        <v>2</v>
      </c>
      <c r="N21" s="11">
        <f t="shared" si="2"/>
        <v>2</v>
      </c>
      <c r="O21" s="11">
        <f t="shared" si="2"/>
        <v>6</v>
      </c>
      <c r="P21" s="11">
        <f t="shared" si="2"/>
        <v>0</v>
      </c>
      <c r="Q21" s="11">
        <f t="shared" si="2"/>
        <v>0</v>
      </c>
      <c r="R21" s="11">
        <f t="shared" si="2"/>
        <v>0</v>
      </c>
      <c r="S21" s="11">
        <f t="shared" si="2"/>
        <v>2</v>
      </c>
      <c r="V21" s="13" t="str">
        <f>Dec2BinHex(BinHex2Dec(V20)+1)</f>
        <v>1011 (B)</v>
      </c>
      <c r="W21" s="13" t="str">
        <f>Dec2BinHex(BitXOR(11, BinHex2Dec(V21)))</f>
        <v>0000 (0)</v>
      </c>
      <c r="X21" s="14" t="str">
        <f>Dec2BinHex(BitXOR(BinHex2Dec(V21),BinHex2Dec(W21)))</f>
        <v>1011 (B)</v>
      </c>
      <c r="Y21" s="16" t="str">
        <f>Dec2BinHex(DoSubst(BinHex2Dec(V21), $D$2:$S$3))</f>
        <v>1011 (B)</v>
      </c>
      <c r="Z21" s="13" t="str">
        <f>Dec2BinHex(DoSubst(BinHex2Dec(W21), $D$2:$S$3))</f>
        <v>0100 (4)</v>
      </c>
      <c r="AA21" s="12" t="str">
        <f>Dec2BinHex(BitXOR(BinHex2Dec(Y21),BinHex2Dec(Z21)))</f>
        <v>1111 (F)</v>
      </c>
      <c r="AB21" s="27" t="str">
        <f>IF(BinHex2Dec(AA21)=MATCH(MAX(D$21:S$21),D$21:S$21,0)-1, "←", " ")</f>
        <v xml:space="preserve"> </v>
      </c>
    </row>
    <row r="22" spans="1:28" ht="15.75">
      <c r="B22" s="94"/>
      <c r="C22" s="10" t="str">
        <f t="shared" si="4"/>
        <v>C</v>
      </c>
      <c r="D22" s="9">
        <f t="shared" si="3"/>
        <v>0</v>
      </c>
      <c r="E22" s="9">
        <f t="shared" si="2"/>
        <v>0</v>
      </c>
      <c r="F22" s="9">
        <f t="shared" si="2"/>
        <v>2</v>
      </c>
      <c r="G22" s="9">
        <f t="shared" si="2"/>
        <v>0</v>
      </c>
      <c r="H22" s="9">
        <f t="shared" si="2"/>
        <v>0</v>
      </c>
      <c r="I22" s="9">
        <f t="shared" si="2"/>
        <v>0</v>
      </c>
      <c r="J22" s="9">
        <f t="shared" si="2"/>
        <v>4</v>
      </c>
      <c r="K22" s="9">
        <f t="shared" si="2"/>
        <v>2</v>
      </c>
      <c r="L22" s="9">
        <f t="shared" si="2"/>
        <v>0</v>
      </c>
      <c r="M22" s="9">
        <f t="shared" si="2"/>
        <v>2</v>
      </c>
      <c r="N22" s="9">
        <f t="shared" si="2"/>
        <v>0</v>
      </c>
      <c r="O22" s="9">
        <f t="shared" si="2"/>
        <v>0</v>
      </c>
      <c r="P22" s="9">
        <f t="shared" si="2"/>
        <v>0</v>
      </c>
      <c r="Q22" s="9">
        <f t="shared" si="2"/>
        <v>2</v>
      </c>
      <c r="R22" s="9">
        <f t="shared" si="2"/>
        <v>2</v>
      </c>
      <c r="S22" s="9">
        <f t="shared" si="2"/>
        <v>2</v>
      </c>
      <c r="V22" s="13" t="str">
        <f>Dec2BinHex(BinHex2Dec(V21)+1)</f>
        <v>1100 (C)</v>
      </c>
      <c r="W22" s="13" t="str">
        <f>Dec2BinHex(BitXOR(11, BinHex2Dec(V22)))</f>
        <v>0111 (7)</v>
      </c>
      <c r="X22" s="14" t="str">
        <f>Dec2BinHex(BitXOR(BinHex2Dec(V22),BinHex2Dec(W22)))</f>
        <v>1011 (B)</v>
      </c>
      <c r="Y22" s="16" t="str">
        <f>Dec2BinHex(DoSubst(BinHex2Dec(V22), $D$2:$S$3))</f>
        <v>0110 (6)</v>
      </c>
      <c r="Z22" s="13" t="str">
        <f>Dec2BinHex(DoSubst(BinHex2Dec(W22), $D$2:$S$3))</f>
        <v>1101 (D)</v>
      </c>
      <c r="AA22" s="12" t="str">
        <f>Dec2BinHex(BitXOR(BinHex2Dec(Y22),BinHex2Dec(Z22)))</f>
        <v>1011 (B)</v>
      </c>
      <c r="AB22" s="27" t="str">
        <f>IF(BinHex2Dec(AA22)=MATCH(MAX(D$21:S$21),D$21:S$21,0)-1, "←", " ")</f>
        <v>←</v>
      </c>
    </row>
    <row r="23" spans="1:28" ht="15.75">
      <c r="B23" s="94"/>
      <c r="C23" s="10" t="str">
        <f t="shared" si="4"/>
        <v>D</v>
      </c>
      <c r="D23" s="9">
        <f t="shared" si="3"/>
        <v>0</v>
      </c>
      <c r="E23" s="9">
        <f t="shared" si="2"/>
        <v>2</v>
      </c>
      <c r="F23" s="9">
        <f t="shared" si="2"/>
        <v>0</v>
      </c>
      <c r="G23" s="9">
        <f t="shared" si="2"/>
        <v>2</v>
      </c>
      <c r="H23" s="9">
        <f t="shared" si="2"/>
        <v>2</v>
      </c>
      <c r="I23" s="9">
        <f t="shared" si="2"/>
        <v>6</v>
      </c>
      <c r="J23" s="9">
        <f t="shared" si="2"/>
        <v>0</v>
      </c>
      <c r="K23" s="9">
        <f t="shared" si="2"/>
        <v>0</v>
      </c>
      <c r="L23" s="9">
        <f t="shared" si="2"/>
        <v>2</v>
      </c>
      <c r="M23" s="9">
        <f t="shared" si="2"/>
        <v>0</v>
      </c>
      <c r="N23" s="9">
        <f t="shared" si="2"/>
        <v>0</v>
      </c>
      <c r="O23" s="9">
        <f t="shared" si="2"/>
        <v>2</v>
      </c>
      <c r="P23" s="9">
        <f t="shared" si="2"/>
        <v>0</v>
      </c>
      <c r="Q23" s="9">
        <f t="shared" si="2"/>
        <v>0</v>
      </c>
      <c r="R23" s="9">
        <f t="shared" si="2"/>
        <v>0</v>
      </c>
      <c r="S23" s="9">
        <f t="shared" si="2"/>
        <v>0</v>
      </c>
      <c r="V23" s="13" t="str">
        <f>Dec2BinHex(BinHex2Dec(V22)+1)</f>
        <v>1101 (D)</v>
      </c>
      <c r="W23" s="13" t="str">
        <f>Dec2BinHex(BitXOR(11, BinHex2Dec(V23)))</f>
        <v>0110 (6)</v>
      </c>
      <c r="X23" s="14" t="str">
        <f>Dec2BinHex(BitXOR(BinHex2Dec(V23),BinHex2Dec(W23)))</f>
        <v>1011 (B)</v>
      </c>
      <c r="Y23" s="16" t="str">
        <f>Dec2BinHex(DoSubst(BinHex2Dec(V23), $D$2:$S$3))</f>
        <v>0101 (5)</v>
      </c>
      <c r="Z23" s="13" t="str">
        <f>Dec2BinHex(DoSubst(BinHex2Dec(W23), $D$2:$S$3))</f>
        <v>1110 (E)</v>
      </c>
      <c r="AA23" s="12" t="str">
        <f>Dec2BinHex(BitXOR(BinHex2Dec(Y23),BinHex2Dec(Z23)))</f>
        <v>1011 (B)</v>
      </c>
      <c r="AB23" s="27" t="str">
        <f>IF(BinHex2Dec(AA23)=MATCH(MAX(D$21:S$21),D$21:S$21,0)-1, "←", " ")</f>
        <v>←</v>
      </c>
    </row>
    <row r="24" spans="1:28" ht="15.75">
      <c r="B24" s="94"/>
      <c r="C24" s="10" t="str">
        <f t="shared" si="4"/>
        <v>E</v>
      </c>
      <c r="D24" s="9">
        <f t="shared" si="3"/>
        <v>0</v>
      </c>
      <c r="E24" s="9">
        <f t="shared" si="2"/>
        <v>2</v>
      </c>
      <c r="F24" s="9">
        <f t="shared" si="2"/>
        <v>2</v>
      </c>
      <c r="G24" s="9">
        <f t="shared" si="2"/>
        <v>0</v>
      </c>
      <c r="H24" s="9">
        <f t="shared" si="2"/>
        <v>2</v>
      </c>
      <c r="I24" s="9">
        <f t="shared" si="2"/>
        <v>0</v>
      </c>
      <c r="J24" s="9">
        <f t="shared" si="2"/>
        <v>2</v>
      </c>
      <c r="K24" s="9">
        <f t="shared" si="2"/>
        <v>0</v>
      </c>
      <c r="L24" s="9">
        <f t="shared" si="2"/>
        <v>0</v>
      </c>
      <c r="M24" s="9">
        <f t="shared" si="2"/>
        <v>4</v>
      </c>
      <c r="N24" s="9">
        <f t="shared" si="2"/>
        <v>0</v>
      </c>
      <c r="O24" s="9">
        <f t="shared" si="2"/>
        <v>0</v>
      </c>
      <c r="P24" s="9">
        <f t="shared" si="2"/>
        <v>2</v>
      </c>
      <c r="Q24" s="9">
        <f t="shared" si="2"/>
        <v>2</v>
      </c>
      <c r="R24" s="9">
        <f t="shared" si="2"/>
        <v>0</v>
      </c>
      <c r="S24" s="9">
        <f t="shared" si="2"/>
        <v>0</v>
      </c>
      <c r="V24" s="13" t="str">
        <f>Dec2BinHex(BinHex2Dec(V23)+1)</f>
        <v>1110 (E)</v>
      </c>
      <c r="W24" s="13" t="str">
        <f>Dec2BinHex(BitXOR(11, BinHex2Dec(V24)))</f>
        <v>0101 (5)</v>
      </c>
      <c r="X24" s="14" t="str">
        <f>Dec2BinHex(BitXOR(BinHex2Dec(V24),BinHex2Dec(W24)))</f>
        <v>1011 (B)</v>
      </c>
      <c r="Y24" s="16" t="str">
        <f>Dec2BinHex(DoSubst(BinHex2Dec(V24), $D$2:$S$3))</f>
        <v>1001 (9)</v>
      </c>
      <c r="Z24" s="13" t="str">
        <f>Dec2BinHex(DoSubst(BinHex2Dec(W24), $D$2:$S$3))</f>
        <v>1111 (F)</v>
      </c>
      <c r="AA24" s="12" t="str">
        <f>Dec2BinHex(BitXOR(BinHex2Dec(Y24),BinHex2Dec(Z24)))</f>
        <v>0110 (6)</v>
      </c>
      <c r="AB24" s="27" t="str">
        <f>IF(BinHex2Dec(AA24)=MATCH(MAX(D$21:S$21),D$21:S$21,0)-1, "←", " ")</f>
        <v xml:space="preserve"> </v>
      </c>
    </row>
    <row r="25" spans="1:28" ht="15.75">
      <c r="B25" s="94"/>
      <c r="C25" s="10" t="str">
        <f t="shared" si="4"/>
        <v>F</v>
      </c>
      <c r="D25" s="9">
        <f t="shared" si="3"/>
        <v>0</v>
      </c>
      <c r="E25" s="9">
        <f t="shared" si="2"/>
        <v>2</v>
      </c>
      <c r="F25" s="9">
        <f t="shared" si="2"/>
        <v>0</v>
      </c>
      <c r="G25" s="9">
        <f t="shared" si="2"/>
        <v>0</v>
      </c>
      <c r="H25" s="9">
        <f t="shared" si="2"/>
        <v>0</v>
      </c>
      <c r="I25" s="9">
        <f t="shared" si="2"/>
        <v>2</v>
      </c>
      <c r="J25" s="9">
        <f t="shared" si="2"/>
        <v>0</v>
      </c>
      <c r="K25" s="9">
        <f t="shared" si="2"/>
        <v>4</v>
      </c>
      <c r="L25" s="9">
        <f t="shared" si="2"/>
        <v>0</v>
      </c>
      <c r="M25" s="9">
        <f t="shared" si="2"/>
        <v>0</v>
      </c>
      <c r="N25" s="9">
        <f t="shared" si="2"/>
        <v>4</v>
      </c>
      <c r="O25" s="9">
        <f t="shared" si="2"/>
        <v>2</v>
      </c>
      <c r="P25" s="9">
        <f t="shared" si="2"/>
        <v>0</v>
      </c>
      <c r="Q25" s="9">
        <f t="shared" si="2"/>
        <v>0</v>
      </c>
      <c r="R25" s="9">
        <f t="shared" si="2"/>
        <v>0</v>
      </c>
      <c r="S25" s="9">
        <f t="shared" si="2"/>
        <v>2</v>
      </c>
      <c r="V25" s="13" t="str">
        <f>Dec2BinHex(BinHex2Dec(V24)+1)</f>
        <v>1111 (F)</v>
      </c>
      <c r="W25" s="13" t="str">
        <f>Dec2BinHex(BitXOR(11, BinHex2Dec(V25)))</f>
        <v>0100 (4)</v>
      </c>
      <c r="X25" s="14" t="str">
        <f>Dec2BinHex(BitXOR(BinHex2Dec(V25),BinHex2Dec(W25)))</f>
        <v>1011 (B)</v>
      </c>
      <c r="Y25" s="16" t="str">
        <f>Dec2BinHex(DoSubst(BinHex2Dec(V25), $D$2:$S$3))</f>
        <v>0011 (3)</v>
      </c>
      <c r="Z25" s="13" t="str">
        <f>Dec2BinHex(DoSubst(BinHex2Dec(W25), $D$2:$S$3))</f>
        <v>1010 (A)</v>
      </c>
      <c r="AA25" s="12" t="str">
        <f>Dec2BinHex(BitXOR(BinHex2Dec(Y25),BinHex2Dec(Z25)))</f>
        <v>1001 (9)</v>
      </c>
      <c r="AB25" s="27" t="str">
        <f>IF(BinHex2Dec(AA25)=MATCH(MAX(D$21:S$21),D$21:S$21,0)-1, "←", " ")</f>
        <v xml:space="preserve"> </v>
      </c>
    </row>
    <row r="26" spans="1:28" ht="15.75">
      <c r="C26" s="6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</row>
    <row r="27" spans="1:28" ht="15.75">
      <c r="C27" s="6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8"/>
      <c r="U27" s="8"/>
    </row>
    <row r="28" spans="1:28" ht="36.6" customHeight="1">
      <c r="C28" s="6"/>
      <c r="D28" s="90" t="s">
        <v>42</v>
      </c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</row>
    <row r="29" spans="1:28" ht="15.75" thickBot="1">
      <c r="W29" t="s">
        <v>59</v>
      </c>
    </row>
    <row r="30" spans="1:28" ht="19.5" thickBot="1">
      <c r="A30" s="2" t="s">
        <v>45</v>
      </c>
      <c r="C30" s="30">
        <v>0</v>
      </c>
      <c r="D30" s="28">
        <v>0</v>
      </c>
      <c r="E30" s="28">
        <v>0</v>
      </c>
      <c r="F30" s="28">
        <v>0</v>
      </c>
      <c r="G30" s="4"/>
      <c r="H30" s="28">
        <v>0</v>
      </c>
      <c r="I30" s="28">
        <v>1</v>
      </c>
      <c r="J30" s="28">
        <v>0</v>
      </c>
      <c r="K30" s="28">
        <v>0</v>
      </c>
      <c r="L30" s="4"/>
      <c r="M30" s="28">
        <v>0</v>
      </c>
      <c r="N30" s="28">
        <v>0</v>
      </c>
      <c r="O30" s="28">
        <v>0</v>
      </c>
      <c r="P30" s="28">
        <v>0</v>
      </c>
      <c r="Q30" s="4"/>
      <c r="R30" s="28">
        <v>0</v>
      </c>
      <c r="S30" s="28">
        <v>1</v>
      </c>
      <c r="T30" s="28">
        <v>0</v>
      </c>
      <c r="U30" s="29">
        <v>0</v>
      </c>
      <c r="W30">
        <f>BIN2DEC(CONCATENATE(C30,D30,E30,F30))</f>
        <v>0</v>
      </c>
      <c r="X30">
        <f>BIN2DEC(CONCATENATE(H30,I30,J30,K30))</f>
        <v>4</v>
      </c>
      <c r="Y30">
        <f>BIN2DEC(CONCATENATE(M30,N30,O30,P30))</f>
        <v>0</v>
      </c>
      <c r="Z30">
        <f>BIN2DEC(CONCATENATE(R30,S30,T30,U30))</f>
        <v>4</v>
      </c>
      <c r="AA30" t="s">
        <v>21</v>
      </c>
    </row>
    <row r="31" spans="1:28">
      <c r="C31" s="24" t="str">
        <f>IF(INT(C30)=1, "│", " │ ")</f>
        <v xml:space="preserve"> │ </v>
      </c>
      <c r="D31" s="24" t="str">
        <f>IF(INT(D30)=1, "│", " │ ")</f>
        <v xml:space="preserve"> │ </v>
      </c>
      <c r="E31" s="24" t="str">
        <f>IF(INT(E30)=1, "│", " │ ")</f>
        <v xml:space="preserve"> │ </v>
      </c>
      <c r="F31" s="24" t="str">
        <f>IF(INT(F30)=1, "│", " │ ")</f>
        <v xml:space="preserve"> │ </v>
      </c>
      <c r="G31" s="8"/>
      <c r="H31" s="24" t="str">
        <f>IF(INT(H30)=1, "│", " │ ")</f>
        <v xml:space="preserve"> │ </v>
      </c>
      <c r="I31" s="24" t="str">
        <f>IF(INT(I30)=1, "│", " │ ")</f>
        <v>│</v>
      </c>
      <c r="J31" s="24" t="str">
        <f>IF(INT(J30)=1, "│", " │ ")</f>
        <v xml:space="preserve"> │ </v>
      </c>
      <c r="K31" s="24" t="str">
        <f>IF(INT(K30)=1, "│", " │ ")</f>
        <v xml:space="preserve"> │ </v>
      </c>
      <c r="L31" s="8"/>
      <c r="M31" s="24" t="str">
        <f>IF(INT(M30)=1, "│", " │ ")</f>
        <v xml:space="preserve"> │ </v>
      </c>
      <c r="N31" s="24" t="str">
        <f>IF(INT(N30)=1, "│", " │ ")</f>
        <v xml:space="preserve"> │ </v>
      </c>
      <c r="O31" s="24" t="str">
        <f>IF(INT(O30)=1, "│", " │ ")</f>
        <v xml:space="preserve"> │ </v>
      </c>
      <c r="P31" s="24" t="str">
        <f>IF(INT(P30)=1, "│", " │ ")</f>
        <v xml:space="preserve"> │ </v>
      </c>
      <c r="Q31" s="8"/>
      <c r="R31" s="24" t="str">
        <f>IF(INT(R30)=1, "│", " │ ")</f>
        <v xml:space="preserve"> │ </v>
      </c>
      <c r="S31" s="24" t="str">
        <f>IF(INT(S30)=1, "│", " │ ")</f>
        <v>│</v>
      </c>
      <c r="T31" s="24" t="str">
        <f>IF(INT(T30)=1, "│", " │ ")</f>
        <v xml:space="preserve"> │ </v>
      </c>
      <c r="U31" s="24" t="str">
        <f>IF(INT(U30)=1, "│", " │ ")</f>
        <v xml:space="preserve"> │ </v>
      </c>
    </row>
    <row r="32" spans="1:28" ht="15.75">
      <c r="C32" s="102" t="s">
        <v>27</v>
      </c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4"/>
      <c r="W32">
        <f ca="1">MAX(OFFSET($D$10:$S$10, W30, 0))</f>
        <v>16</v>
      </c>
      <c r="X32">
        <f ca="1">MAX(OFFSET($D$10:$S$10, X30, 0))</f>
        <v>6</v>
      </c>
      <c r="Y32">
        <f ca="1">MAX(OFFSET($D$10:$S$10, Y30, 0))</f>
        <v>16</v>
      </c>
      <c r="Z32">
        <f ca="1">MAX(OFFSET($D$10:$S$10, Z30, 0))</f>
        <v>6</v>
      </c>
      <c r="AA32" t="s">
        <v>24</v>
      </c>
    </row>
    <row r="33" spans="1:32">
      <c r="A33" s="2" t="s">
        <v>35</v>
      </c>
      <c r="C33" s="24" t="str">
        <f>IF(INT(C30)=1, "│", " │ ")</f>
        <v xml:space="preserve"> │ </v>
      </c>
      <c r="D33" s="24" t="str">
        <f t="shared" ref="D33:F33" si="5">IF(INT(D30)=1, "│", " │ ")</f>
        <v xml:space="preserve"> │ </v>
      </c>
      <c r="E33" s="24" t="str">
        <f t="shared" si="5"/>
        <v xml:space="preserve"> │ </v>
      </c>
      <c r="F33" s="24" t="str">
        <f t="shared" si="5"/>
        <v xml:space="preserve"> │ </v>
      </c>
      <c r="G33" s="8"/>
      <c r="H33" s="24" t="str">
        <f t="shared" ref="H33:K33" si="6">IF(INT(H30)=1, "│", " │ ")</f>
        <v xml:space="preserve"> │ </v>
      </c>
      <c r="I33" s="24" t="str">
        <f t="shared" si="6"/>
        <v>│</v>
      </c>
      <c r="J33" s="24" t="str">
        <f t="shared" si="6"/>
        <v xml:space="preserve"> │ </v>
      </c>
      <c r="K33" s="24" t="str">
        <f t="shared" si="6"/>
        <v xml:space="preserve"> │ </v>
      </c>
      <c r="L33" s="8"/>
      <c r="M33" s="24" t="str">
        <f t="shared" ref="M33:P33" si="7">IF(INT(M30)=1, "│", " │ ")</f>
        <v xml:space="preserve"> │ </v>
      </c>
      <c r="N33" s="24" t="str">
        <f t="shared" si="7"/>
        <v xml:space="preserve"> │ </v>
      </c>
      <c r="O33" s="24" t="str">
        <f t="shared" si="7"/>
        <v xml:space="preserve"> │ </v>
      </c>
      <c r="P33" s="24" t="str">
        <f t="shared" si="7"/>
        <v xml:space="preserve"> │ </v>
      </c>
      <c r="Q33" s="8"/>
      <c r="R33" s="24" t="str">
        <f t="shared" ref="R33:U33" si="8">IF(INT(R30)=1, "│", " │ ")</f>
        <v xml:space="preserve"> │ </v>
      </c>
      <c r="S33" s="24" t="str">
        <f t="shared" si="8"/>
        <v>│</v>
      </c>
      <c r="T33" s="24" t="str">
        <f t="shared" si="8"/>
        <v xml:space="preserve"> │ </v>
      </c>
      <c r="U33" s="24" t="str">
        <f t="shared" si="8"/>
        <v xml:space="preserve"> │ </v>
      </c>
      <c r="W33" s="17">
        <f ca="1">W32/16</f>
        <v>1</v>
      </c>
      <c r="X33" s="17">
        <f ca="1">X32/16</f>
        <v>0.375</v>
      </c>
      <c r="Y33" s="17">
        <f ca="1">Y32/16</f>
        <v>1</v>
      </c>
      <c r="Z33" s="17">
        <f ca="1">Z32/16</f>
        <v>0.375</v>
      </c>
      <c r="AA33" t="s">
        <v>23</v>
      </c>
    </row>
    <row r="34" spans="1:32" ht="18.75">
      <c r="C34" s="96" t="str">
        <f ca="1">IF(W34&lt;&gt;0, "S", " S ")</f>
        <v xml:space="preserve"> S </v>
      </c>
      <c r="D34" s="97"/>
      <c r="E34" s="97"/>
      <c r="F34" s="98"/>
      <c r="H34" s="99" t="str">
        <f ca="1">IF(X34&lt;&gt;0, "S", " S ")</f>
        <v>S</v>
      </c>
      <c r="I34" s="100"/>
      <c r="J34" s="100"/>
      <c r="K34" s="101"/>
      <c r="M34" s="96" t="str">
        <f ca="1">IF(Y34&lt;&gt;0, "S", " S ")</f>
        <v xml:space="preserve"> S </v>
      </c>
      <c r="N34" s="97"/>
      <c r="O34" s="97"/>
      <c r="P34" s="98"/>
      <c r="R34" s="96" t="str">
        <f ca="1">IF(Z34&lt;&gt;0, "S", " S ")</f>
        <v>S</v>
      </c>
      <c r="S34" s="97"/>
      <c r="T34" s="97"/>
      <c r="U34" s="98"/>
      <c r="W34">
        <f ca="1">MATCH(W32,OFFSET($D$10:$S$10, W30, 0),0)-1</f>
        <v>0</v>
      </c>
      <c r="X34">
        <f ca="1">MATCH(X32,OFFSET($D$10:$S$10, X30, 0),0)-1</f>
        <v>1</v>
      </c>
      <c r="Y34">
        <f ca="1">MATCH(Y32,OFFSET($D$10:$S$10, Y30, 0),0)-1</f>
        <v>0</v>
      </c>
      <c r="Z34">
        <f ca="1">MATCH(Z32,OFFSET($D$10:$S$10, Z30, 0),0)-1</f>
        <v>1</v>
      </c>
      <c r="AA34" t="s">
        <v>22</v>
      </c>
    </row>
    <row r="35" spans="1:32" ht="45" customHeight="1" thickBot="1">
      <c r="A35" s="21" t="s">
        <v>38</v>
      </c>
    </row>
    <row r="36" spans="1:32" ht="19.5" thickBot="1">
      <c r="A36" s="2" t="s">
        <v>1</v>
      </c>
      <c r="C36" s="3" t="str">
        <f ca="1">MID(DEC2BIN(W34,4), 1, 1)</f>
        <v>0</v>
      </c>
      <c r="D36" s="4" t="str">
        <f ca="1">MID(DEC2BIN(X34,4), 1, 1)</f>
        <v>0</v>
      </c>
      <c r="E36" s="4" t="str">
        <f ca="1">MID(DEC2BIN(Y34,4), 1, 1)</f>
        <v>0</v>
      </c>
      <c r="F36" s="4" t="str">
        <f ca="1">MID(DEC2BIN(Z34,4), 1, 1)</f>
        <v>0</v>
      </c>
      <c r="G36" s="4"/>
      <c r="H36" s="4" t="str">
        <f ca="1">MID(DEC2BIN(W34,4), 2, 1)</f>
        <v>0</v>
      </c>
      <c r="I36" s="4" t="str">
        <f t="shared" ref="I36:K36" ca="1" si="9">MID(DEC2BIN(X34,4), 2, 1)</f>
        <v>0</v>
      </c>
      <c r="J36" s="4" t="str">
        <f t="shared" ca="1" si="9"/>
        <v>0</v>
      </c>
      <c r="K36" s="4" t="str">
        <f t="shared" ca="1" si="9"/>
        <v>0</v>
      </c>
      <c r="L36" s="4"/>
      <c r="M36" s="4" t="str">
        <f ca="1">MID(DEC2BIN(W34,4), 3, 1)</f>
        <v>0</v>
      </c>
      <c r="N36" s="4" t="str">
        <f t="shared" ref="N36:P36" ca="1" si="10">MID(DEC2BIN(X34,4), 3, 1)</f>
        <v>0</v>
      </c>
      <c r="O36" s="4" t="str">
        <f t="shared" ca="1" si="10"/>
        <v>0</v>
      </c>
      <c r="P36" s="4" t="str">
        <f t="shared" ca="1" si="10"/>
        <v>0</v>
      </c>
      <c r="Q36" s="4"/>
      <c r="R36" s="4" t="str">
        <f ca="1">MID(DEC2BIN(W34,4), 4, 1)</f>
        <v>0</v>
      </c>
      <c r="S36" s="4" t="str">
        <f ca="1">MID(DEC2BIN(X34,4), 4, 1)</f>
        <v>1</v>
      </c>
      <c r="T36" s="4" t="str">
        <f ca="1">MID(DEC2BIN(Y34,4), 4, 1)</f>
        <v>0</v>
      </c>
      <c r="U36" s="5" t="str">
        <f ca="1">MID(DEC2BIN(Z34,4), 4, 1)</f>
        <v>1</v>
      </c>
      <c r="W36">
        <f ca="1">BIN2DEC(CONCATENATE(C36,D36,E36,F36))</f>
        <v>0</v>
      </c>
      <c r="X36">
        <f ca="1">BIN2DEC(CONCATENATE(H36,I36,J36,K36))</f>
        <v>0</v>
      </c>
      <c r="Y36">
        <f ca="1">BIN2DEC(CONCATENATE(M36,N36,O36,P36))</f>
        <v>0</v>
      </c>
      <c r="Z36">
        <f ca="1">BIN2DEC(CONCATENATE(R36,S36,T36,U36))</f>
        <v>5</v>
      </c>
    </row>
    <row r="37" spans="1:32">
      <c r="C37" s="24" t="str">
        <f ca="1">IF(INT(C36)=1, "│", " │ ")</f>
        <v xml:space="preserve"> │ </v>
      </c>
      <c r="D37" s="24" t="str">
        <f ca="1">IF(INT(D36)=1, "│", " │ ")</f>
        <v xml:space="preserve"> │ </v>
      </c>
      <c r="E37" s="24" t="str">
        <f ca="1">IF(INT(E36)=1, "│", " │ ")</f>
        <v xml:space="preserve"> │ </v>
      </c>
      <c r="F37" s="24" t="str">
        <f ca="1">IF(INT(F36)=1, "│", " │ ")</f>
        <v xml:space="preserve"> │ </v>
      </c>
      <c r="G37" s="8"/>
      <c r="H37" s="24" t="str">
        <f ca="1">IF(INT(H36)=1, "│", " │ ")</f>
        <v xml:space="preserve"> │ </v>
      </c>
      <c r="I37" s="24" t="str">
        <f ca="1">IF(INT(I36)=1, "│", " │ ")</f>
        <v xml:space="preserve"> │ </v>
      </c>
      <c r="J37" s="24" t="str">
        <f ca="1">IF(INT(J36)=1, "│", " │ ")</f>
        <v xml:space="preserve"> │ </v>
      </c>
      <c r="K37" s="24" t="str">
        <f ca="1">IF(INT(K36)=1, "│", " │ ")</f>
        <v xml:space="preserve"> │ </v>
      </c>
      <c r="L37" s="8"/>
      <c r="M37" s="24" t="str">
        <f ca="1">IF(INT(M36)=1, "│", " │ ")</f>
        <v xml:space="preserve"> │ </v>
      </c>
      <c r="N37" s="24" t="str">
        <f ca="1">IF(INT(N36)=1, "│", " │ ")</f>
        <v xml:space="preserve"> │ </v>
      </c>
      <c r="O37" s="24" t="str">
        <f ca="1">IF(INT(O36)=1, "│", " │ ")</f>
        <v xml:space="preserve"> │ </v>
      </c>
      <c r="P37" s="24" t="str">
        <f ca="1">IF(INT(P36)=1, "│", " │ ")</f>
        <v xml:space="preserve"> │ </v>
      </c>
      <c r="Q37" s="8"/>
      <c r="R37" s="24" t="str">
        <f ca="1">IF(INT(R36)=1, "│", " │ ")</f>
        <v xml:space="preserve"> │ </v>
      </c>
      <c r="S37" s="24" t="str">
        <f ca="1">IF(INT(S36)=1, "│", " │ ")</f>
        <v>│</v>
      </c>
      <c r="T37" s="24" t="str">
        <f ca="1">IF(INT(T36)=1, "│", " │ ")</f>
        <v xml:space="preserve"> │ </v>
      </c>
      <c r="U37" s="24" t="str">
        <f ca="1">IF(INT(U36)=1, "│", " │ ")</f>
        <v>│</v>
      </c>
    </row>
    <row r="38" spans="1:32" ht="15.75">
      <c r="C38" s="102" t="s">
        <v>26</v>
      </c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4"/>
      <c r="W38">
        <f ca="1">MAX(OFFSET($D$10:$S$10, W36, 0))</f>
        <v>16</v>
      </c>
      <c r="X38">
        <f ca="1">MAX(OFFSET($D$10:$S$10, X36, 0))</f>
        <v>16</v>
      </c>
      <c r="Y38">
        <f ca="1">MAX(OFFSET($D$10:$S$10, Y36, 0))</f>
        <v>16</v>
      </c>
      <c r="Z38">
        <f ca="1">MAX(OFFSET($D$10:$S$10, Z36, 0))</f>
        <v>6</v>
      </c>
      <c r="AA38" t="s">
        <v>24</v>
      </c>
    </row>
    <row r="39" spans="1:32">
      <c r="A39" s="2" t="s">
        <v>34</v>
      </c>
      <c r="C39" s="24" t="str">
        <f ca="1">IF(INT(C36)=1, "│", " │ ")</f>
        <v xml:space="preserve"> │ </v>
      </c>
      <c r="D39" s="24" t="str">
        <f t="shared" ref="D39:F39" ca="1" si="11">IF(INT(D36)=1, "│", " │ ")</f>
        <v xml:space="preserve"> │ </v>
      </c>
      <c r="E39" s="24" t="str">
        <f t="shared" ca="1" si="11"/>
        <v xml:space="preserve"> │ </v>
      </c>
      <c r="F39" s="24" t="str">
        <f t="shared" ca="1" si="11"/>
        <v xml:space="preserve"> │ </v>
      </c>
      <c r="G39" s="8"/>
      <c r="H39" s="24" t="str">
        <f t="shared" ref="H39:K39" ca="1" si="12">IF(INT(H36)=1, "│", " │ ")</f>
        <v xml:space="preserve"> │ </v>
      </c>
      <c r="I39" s="24" t="str">
        <f t="shared" ca="1" si="12"/>
        <v xml:space="preserve"> │ </v>
      </c>
      <c r="J39" s="24" t="str">
        <f t="shared" ca="1" si="12"/>
        <v xml:space="preserve"> │ </v>
      </c>
      <c r="K39" s="24" t="str">
        <f t="shared" ca="1" si="12"/>
        <v xml:space="preserve"> │ </v>
      </c>
      <c r="L39" s="8"/>
      <c r="M39" s="24" t="str">
        <f t="shared" ref="M39:P39" ca="1" si="13">IF(INT(M36)=1, "│", " │ ")</f>
        <v xml:space="preserve"> │ </v>
      </c>
      <c r="N39" s="24" t="str">
        <f t="shared" ca="1" si="13"/>
        <v xml:space="preserve"> │ </v>
      </c>
      <c r="O39" s="24" t="str">
        <f t="shared" ca="1" si="13"/>
        <v xml:space="preserve"> │ </v>
      </c>
      <c r="P39" s="24" t="str">
        <f t="shared" ca="1" si="13"/>
        <v xml:space="preserve"> │ </v>
      </c>
      <c r="Q39" s="8"/>
      <c r="R39" s="24" t="str">
        <f t="shared" ref="R39:U39" ca="1" si="14">IF(INT(R36)=1, "│", " │ ")</f>
        <v xml:space="preserve"> │ </v>
      </c>
      <c r="S39" s="24" t="str">
        <f t="shared" ca="1" si="14"/>
        <v>│</v>
      </c>
      <c r="T39" s="24" t="str">
        <f t="shared" ca="1" si="14"/>
        <v xml:space="preserve"> │ </v>
      </c>
      <c r="U39" s="24" t="str">
        <f t="shared" ca="1" si="14"/>
        <v>│</v>
      </c>
      <c r="W39" s="17">
        <f ca="1">W38/16</f>
        <v>1</v>
      </c>
      <c r="X39" s="17">
        <f ca="1">X38/16</f>
        <v>1</v>
      </c>
      <c r="Y39" s="17">
        <f ca="1">Y38/16</f>
        <v>1</v>
      </c>
      <c r="Z39" s="17">
        <f ca="1">Z38/16</f>
        <v>0.375</v>
      </c>
      <c r="AA39" t="s">
        <v>23</v>
      </c>
    </row>
    <row r="40" spans="1:32" ht="18.75">
      <c r="C40" s="96" t="str">
        <f ca="1">IF(W40&lt;&gt;0, "S", " S ")</f>
        <v xml:space="preserve"> S </v>
      </c>
      <c r="D40" s="97"/>
      <c r="E40" s="97"/>
      <c r="F40" s="98"/>
      <c r="G40" s="8"/>
      <c r="H40" s="99" t="str">
        <f ca="1">IF(X40&lt;&gt;0, "S", " S ")</f>
        <v xml:space="preserve"> S </v>
      </c>
      <c r="I40" s="100"/>
      <c r="J40" s="100"/>
      <c r="K40" s="101"/>
      <c r="L40" s="8"/>
      <c r="M40" s="96" t="str">
        <f ca="1">IF(Y40&lt;&gt;0, "S", " S ")</f>
        <v xml:space="preserve"> S </v>
      </c>
      <c r="N40" s="97"/>
      <c r="O40" s="97"/>
      <c r="P40" s="98"/>
      <c r="Q40" s="8"/>
      <c r="R40" s="96" t="str">
        <f ca="1">IF(Z40&lt;&gt;0, "S", " S ")</f>
        <v>S</v>
      </c>
      <c r="S40" s="97"/>
      <c r="T40" s="97"/>
      <c r="U40" s="98"/>
      <c r="W40">
        <f ca="1">MATCH(W38,OFFSET($D$10:$S$10, W36, 0),0)-1</f>
        <v>0</v>
      </c>
      <c r="X40">
        <f ca="1">MATCH(X38,OFFSET($D$10:$S$10, X36, 0),0)-1</f>
        <v>0</v>
      </c>
      <c r="Y40">
        <f ca="1">MATCH(Y38,OFFSET($D$10:$S$10, Y36, 0),0)-1</f>
        <v>0</v>
      </c>
      <c r="Z40">
        <f ca="1">MATCH(Z38,OFFSET($D$10:$S$10, Z36, 0),0)-1</f>
        <v>2</v>
      </c>
      <c r="AA40" t="s">
        <v>22</v>
      </c>
      <c r="AF40" s="23"/>
    </row>
    <row r="41" spans="1:32" ht="45" customHeight="1" thickBot="1">
      <c r="A41" s="21" t="s">
        <v>36</v>
      </c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</row>
    <row r="42" spans="1:32" ht="19.5" thickBot="1">
      <c r="A42" s="2" t="s">
        <v>25</v>
      </c>
      <c r="C42" s="3" t="str">
        <f ca="1">MID(DEC2BIN(W40,4), 1, 1)</f>
        <v>0</v>
      </c>
      <c r="D42" s="4" t="str">
        <f ca="1">MID(DEC2BIN(X40,4), 1, 1)</f>
        <v>0</v>
      </c>
      <c r="E42" s="4" t="str">
        <f ca="1">MID(DEC2BIN(Y40,4), 1, 1)</f>
        <v>0</v>
      </c>
      <c r="F42" s="4" t="str">
        <f ca="1">MID(DEC2BIN(Z40,4), 1, 1)</f>
        <v>0</v>
      </c>
      <c r="G42" s="4"/>
      <c r="H42" s="4" t="str">
        <f ca="1">MID(DEC2BIN(W40,4), 2, 1)</f>
        <v>0</v>
      </c>
      <c r="I42" s="4" t="str">
        <f t="shared" ref="I42" ca="1" si="15">MID(DEC2BIN(X40,4), 2, 1)</f>
        <v>0</v>
      </c>
      <c r="J42" s="4" t="str">
        <f t="shared" ref="J42" ca="1" si="16">MID(DEC2BIN(Y40,4), 2, 1)</f>
        <v>0</v>
      </c>
      <c r="K42" s="4" t="str">
        <f t="shared" ref="K42" ca="1" si="17">MID(DEC2BIN(Z40,4), 2, 1)</f>
        <v>0</v>
      </c>
      <c r="L42" s="4"/>
      <c r="M42" s="4" t="str">
        <f ca="1">MID(DEC2BIN(W40,4), 3, 1)</f>
        <v>0</v>
      </c>
      <c r="N42" s="4" t="str">
        <f t="shared" ref="N42" ca="1" si="18">MID(DEC2BIN(X40,4), 3, 1)</f>
        <v>0</v>
      </c>
      <c r="O42" s="4" t="str">
        <f t="shared" ref="O42" ca="1" si="19">MID(DEC2BIN(Y40,4), 3, 1)</f>
        <v>0</v>
      </c>
      <c r="P42" s="4" t="str">
        <f t="shared" ref="P42" ca="1" si="20">MID(DEC2BIN(Z40,4), 3, 1)</f>
        <v>1</v>
      </c>
      <c r="Q42" s="4"/>
      <c r="R42" s="4" t="str">
        <f ca="1">MID(DEC2BIN(W40,4), 4, 1)</f>
        <v>0</v>
      </c>
      <c r="S42" s="4" t="str">
        <f ca="1">MID(DEC2BIN(X40,4), 4, 1)</f>
        <v>0</v>
      </c>
      <c r="T42" s="4" t="str">
        <f ca="1">MID(DEC2BIN(Y40,4), 4, 1)</f>
        <v>0</v>
      </c>
      <c r="U42" s="5" t="str">
        <f ca="1">MID(DEC2BIN(Z40,4), 4, 1)</f>
        <v>0</v>
      </c>
      <c r="W42">
        <f ca="1">BIN2DEC(CONCATENATE(C42,D42,E42,F42))</f>
        <v>0</v>
      </c>
      <c r="X42">
        <f ca="1">BIN2DEC(CONCATENATE(H42,I42,J42,K42))</f>
        <v>0</v>
      </c>
      <c r="Y42">
        <f ca="1">BIN2DEC(CONCATENATE(M42,N42,O42,P42))</f>
        <v>1</v>
      </c>
      <c r="Z42">
        <f ca="1">BIN2DEC(CONCATENATE(R42,S42,T42,U42))</f>
        <v>0</v>
      </c>
    </row>
    <row r="43" spans="1:32">
      <c r="C43" s="24" t="str">
        <f ca="1">IF(INT(C42)=1, "│", " │ ")</f>
        <v xml:space="preserve"> │ </v>
      </c>
      <c r="D43" s="24" t="str">
        <f ca="1">IF(INT(D42)=1, "│", " │ ")</f>
        <v xml:space="preserve"> │ </v>
      </c>
      <c r="E43" s="24" t="str">
        <f ca="1">IF(INT(E42)=1, "│", " │ ")</f>
        <v xml:space="preserve"> │ </v>
      </c>
      <c r="F43" s="24" t="str">
        <f ca="1">IF(INT(F42)=1, "│", " │ ")</f>
        <v xml:space="preserve"> │ </v>
      </c>
      <c r="G43" s="8"/>
      <c r="H43" s="24" t="str">
        <f ca="1">IF(INT(H42)=1, "│", " │ ")</f>
        <v xml:space="preserve"> │ </v>
      </c>
      <c r="I43" s="24" t="str">
        <f ca="1">IF(INT(I42)=1, "│", " │ ")</f>
        <v xml:space="preserve"> │ </v>
      </c>
      <c r="J43" s="24" t="str">
        <f ca="1">IF(INT(J42)=1, "│", " │ ")</f>
        <v xml:space="preserve"> │ </v>
      </c>
      <c r="K43" s="24" t="str">
        <f ca="1">IF(INT(K42)=1, "│", " │ ")</f>
        <v xml:space="preserve"> │ </v>
      </c>
      <c r="L43" s="8"/>
      <c r="M43" s="24" t="str">
        <f ca="1">IF(INT(M42)=1, "│", " │ ")</f>
        <v xml:space="preserve"> │ </v>
      </c>
      <c r="N43" s="24" t="str">
        <f ca="1">IF(INT(N42)=1, "│", " │ ")</f>
        <v xml:space="preserve"> │ </v>
      </c>
      <c r="O43" s="24" t="str">
        <f ca="1">IF(INT(O42)=1, "│", " │ ")</f>
        <v xml:space="preserve"> │ </v>
      </c>
      <c r="P43" s="24" t="str">
        <f ca="1">IF(INT(P42)=1, "│", " │ ")</f>
        <v>│</v>
      </c>
      <c r="Q43" s="8"/>
      <c r="R43" s="24" t="str">
        <f ca="1">IF(INT(R42)=1, "│", " │ ")</f>
        <v xml:space="preserve"> │ </v>
      </c>
      <c r="S43" s="24" t="str">
        <f ca="1">IF(INT(S42)=1, "│", " │ ")</f>
        <v xml:space="preserve"> │ </v>
      </c>
      <c r="T43" s="24" t="str">
        <f ca="1">IF(INT(T42)=1, "│", " │ ")</f>
        <v xml:space="preserve"> │ </v>
      </c>
      <c r="U43" s="24" t="str">
        <f ca="1">IF(INT(U42)=1, "│", " │ ")</f>
        <v xml:space="preserve"> │ </v>
      </c>
    </row>
    <row r="44" spans="1:32" ht="15.75">
      <c r="C44" s="102" t="s">
        <v>28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4"/>
      <c r="W44">
        <f ca="1">MAX(OFFSET($D$10:$S$10, W42, 0))</f>
        <v>16</v>
      </c>
      <c r="X44">
        <f ca="1">MAX(OFFSET($D$10:$S$10, X42, 0))</f>
        <v>16</v>
      </c>
      <c r="Y44">
        <f ca="1">MAX(OFFSET($D$10:$S$10, Y42, 0))</f>
        <v>6</v>
      </c>
      <c r="Z44">
        <f ca="1">MAX(OFFSET($D$10:$S$10, Z42, 0))</f>
        <v>16</v>
      </c>
      <c r="AA44" t="s">
        <v>24</v>
      </c>
    </row>
    <row r="45" spans="1:32">
      <c r="A45" s="2" t="s">
        <v>33</v>
      </c>
      <c r="C45" s="24" t="str">
        <f ca="1">IF(INT(C42)=1, "│", " │ ")</f>
        <v xml:space="preserve"> │ </v>
      </c>
      <c r="D45" s="24" t="str">
        <f t="shared" ref="D45:F45" ca="1" si="21">IF(INT(D42)=1, "│", " │ ")</f>
        <v xml:space="preserve"> │ </v>
      </c>
      <c r="E45" s="24" t="str">
        <f t="shared" ca="1" si="21"/>
        <v xml:space="preserve"> │ </v>
      </c>
      <c r="F45" s="24" t="str">
        <f t="shared" ca="1" si="21"/>
        <v xml:space="preserve"> │ </v>
      </c>
      <c r="G45" s="8"/>
      <c r="H45" s="24" t="str">
        <f t="shared" ref="H45:K45" ca="1" si="22">IF(INT(H42)=1, "│", " │ ")</f>
        <v xml:space="preserve"> │ </v>
      </c>
      <c r="I45" s="24" t="str">
        <f t="shared" ca="1" si="22"/>
        <v xml:space="preserve"> │ </v>
      </c>
      <c r="J45" s="24" t="str">
        <f t="shared" ca="1" si="22"/>
        <v xml:space="preserve"> │ </v>
      </c>
      <c r="K45" s="24" t="str">
        <f t="shared" ca="1" si="22"/>
        <v xml:space="preserve"> │ </v>
      </c>
      <c r="L45" s="8"/>
      <c r="M45" s="24" t="str">
        <f t="shared" ref="M45:P45" ca="1" si="23">IF(INT(M42)=1, "│", " │ ")</f>
        <v xml:space="preserve"> │ </v>
      </c>
      <c r="N45" s="24" t="str">
        <f t="shared" ca="1" si="23"/>
        <v xml:space="preserve"> │ </v>
      </c>
      <c r="O45" s="24" t="str">
        <f t="shared" ca="1" si="23"/>
        <v xml:space="preserve"> │ </v>
      </c>
      <c r="P45" s="24" t="str">
        <f t="shared" ca="1" si="23"/>
        <v>│</v>
      </c>
      <c r="Q45" s="8"/>
      <c r="R45" s="24" t="str">
        <f t="shared" ref="R45:U45" ca="1" si="24">IF(INT(R42)=1, "│", " │ ")</f>
        <v xml:space="preserve"> │ </v>
      </c>
      <c r="S45" s="24" t="str">
        <f t="shared" ca="1" si="24"/>
        <v xml:space="preserve"> │ </v>
      </c>
      <c r="T45" s="24" t="str">
        <f t="shared" ca="1" si="24"/>
        <v xml:space="preserve"> │ </v>
      </c>
      <c r="U45" s="24" t="str">
        <f t="shared" ca="1" si="24"/>
        <v xml:space="preserve"> │ </v>
      </c>
      <c r="W45" s="17">
        <f ca="1">W44/16</f>
        <v>1</v>
      </c>
      <c r="X45" s="17">
        <f ca="1">X44/16</f>
        <v>1</v>
      </c>
      <c r="Y45" s="17">
        <f ca="1">Y44/16</f>
        <v>0.375</v>
      </c>
      <c r="Z45" s="17">
        <f ca="1">Z44/16</f>
        <v>1</v>
      </c>
      <c r="AA45" t="s">
        <v>23</v>
      </c>
    </row>
    <row r="46" spans="1:32" ht="18.75">
      <c r="C46" s="96" t="str">
        <f ca="1">IF(W46&lt;&gt;0, "S", " S ")</f>
        <v xml:space="preserve"> S </v>
      </c>
      <c r="D46" s="97"/>
      <c r="E46" s="97"/>
      <c r="F46" s="98"/>
      <c r="G46" s="8"/>
      <c r="H46" s="99" t="str">
        <f ca="1">IF(X46&lt;&gt;0, "S", " S ")</f>
        <v xml:space="preserve"> S </v>
      </c>
      <c r="I46" s="100"/>
      <c r="J46" s="100"/>
      <c r="K46" s="101"/>
      <c r="L46" s="8"/>
      <c r="M46" s="96" t="str">
        <f ca="1">IF(Y46&lt;&gt;0, "S", " S ")</f>
        <v>S</v>
      </c>
      <c r="N46" s="97"/>
      <c r="O46" s="97"/>
      <c r="P46" s="98"/>
      <c r="Q46" s="8"/>
      <c r="R46" s="96" t="str">
        <f ca="1">IF(Z46&lt;&gt;0, "S", " S ")</f>
        <v xml:space="preserve"> S </v>
      </c>
      <c r="S46" s="97"/>
      <c r="T46" s="97"/>
      <c r="U46" s="98"/>
      <c r="W46">
        <f ca="1">MATCH(W44,OFFSET($D$10:$S$10, W42, 0),0)-1</f>
        <v>0</v>
      </c>
      <c r="X46">
        <f ca="1">MATCH(X44,OFFSET($D$10:$S$10, X42, 0),0)-1</f>
        <v>0</v>
      </c>
      <c r="Y46">
        <f ca="1">MATCH(Y44,OFFSET($D$10:$S$10, Y42, 0),0)-1</f>
        <v>3</v>
      </c>
      <c r="Z46">
        <f ca="1">MATCH(Z44,OFFSET($D$10:$S$10, Z42, 0),0)-1</f>
        <v>0</v>
      </c>
      <c r="AA46" t="s">
        <v>22</v>
      </c>
    </row>
    <row r="47" spans="1:32" ht="45" customHeight="1" thickBot="1">
      <c r="A47" s="21" t="s">
        <v>37</v>
      </c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</row>
    <row r="48" spans="1:32" ht="19.5" thickBot="1">
      <c r="A48" s="2" t="s">
        <v>29</v>
      </c>
      <c r="C48" s="3" t="str">
        <f ca="1">MID(DEC2BIN(W46,4), 1, 1)</f>
        <v>0</v>
      </c>
      <c r="D48" s="4" t="str">
        <f ca="1">MID(DEC2BIN(X46,4), 1, 1)</f>
        <v>0</v>
      </c>
      <c r="E48" s="4" t="str">
        <f ca="1">MID(DEC2BIN(Y46,4), 1, 1)</f>
        <v>0</v>
      </c>
      <c r="F48" s="4" t="str">
        <f ca="1">MID(DEC2BIN(Z46,4), 1, 1)</f>
        <v>0</v>
      </c>
      <c r="G48" s="4"/>
      <c r="H48" s="4" t="str">
        <f ca="1">MID(DEC2BIN(W46,4), 2, 1)</f>
        <v>0</v>
      </c>
      <c r="I48" s="4" t="str">
        <f t="shared" ref="I48" ca="1" si="25">MID(DEC2BIN(X46,4), 2, 1)</f>
        <v>0</v>
      </c>
      <c r="J48" s="4" t="str">
        <f t="shared" ref="J48" ca="1" si="26">MID(DEC2BIN(Y46,4), 2, 1)</f>
        <v>0</v>
      </c>
      <c r="K48" s="4" t="str">
        <f t="shared" ref="K48" ca="1" si="27">MID(DEC2BIN(Z46,4), 2, 1)</f>
        <v>0</v>
      </c>
      <c r="L48" s="4"/>
      <c r="M48" s="4" t="str">
        <f ca="1">MID(DEC2BIN(W46,4), 3, 1)</f>
        <v>0</v>
      </c>
      <c r="N48" s="4" t="str">
        <f t="shared" ref="N48" ca="1" si="28">MID(DEC2BIN(X46,4), 3, 1)</f>
        <v>0</v>
      </c>
      <c r="O48" s="4" t="str">
        <f t="shared" ref="O48" ca="1" si="29">MID(DEC2BIN(Y46,4), 3, 1)</f>
        <v>1</v>
      </c>
      <c r="P48" s="4" t="str">
        <f t="shared" ref="P48" ca="1" si="30">MID(DEC2BIN(Z46,4), 3, 1)</f>
        <v>0</v>
      </c>
      <c r="Q48" s="4"/>
      <c r="R48" s="4" t="str">
        <f ca="1">MID(DEC2BIN(W46,4), 4, 1)</f>
        <v>0</v>
      </c>
      <c r="S48" s="4" t="str">
        <f ca="1">MID(DEC2BIN(X46,4), 4, 1)</f>
        <v>0</v>
      </c>
      <c r="T48" s="4" t="str">
        <f ca="1">MID(DEC2BIN(Y46,4), 4, 1)</f>
        <v>1</v>
      </c>
      <c r="U48" s="5" t="str">
        <f ca="1">MID(DEC2BIN(Z46,4), 4, 1)</f>
        <v>0</v>
      </c>
      <c r="W48">
        <f ca="1">BIN2DEC(CONCATENATE(C48,D48,E48,F48))</f>
        <v>0</v>
      </c>
      <c r="X48">
        <f ca="1">BIN2DEC(CONCATENATE(H48,I48,J48,K48))</f>
        <v>0</v>
      </c>
      <c r="Y48">
        <f ca="1">BIN2DEC(CONCATENATE(M48,N48,O48,P48))</f>
        <v>2</v>
      </c>
      <c r="Z48">
        <f ca="1">BIN2DEC(CONCATENATE(R48,S48,T48,U48))</f>
        <v>2</v>
      </c>
    </row>
    <row r="49" spans="1:23">
      <c r="C49" s="24" t="str">
        <f ca="1">IF(INT(C48)=1, "│", " │ ")</f>
        <v xml:space="preserve"> │ </v>
      </c>
      <c r="D49" s="24" t="str">
        <f ca="1">IF(INT(D48)=1, "│", " │ ")</f>
        <v xml:space="preserve"> │ </v>
      </c>
      <c r="E49" s="24" t="str">
        <f ca="1">IF(INT(E48)=1, "│", " │ ")</f>
        <v xml:space="preserve"> │ </v>
      </c>
      <c r="F49" s="24" t="str">
        <f ca="1">IF(INT(F48)=1, "│", " │ ")</f>
        <v xml:space="preserve"> │ </v>
      </c>
      <c r="G49" s="8"/>
      <c r="H49" s="24" t="str">
        <f ca="1">IF(INT(H48)=1, "│", " │ ")</f>
        <v xml:space="preserve"> │ </v>
      </c>
      <c r="I49" s="24" t="str">
        <f ca="1">IF(INT(I48)=1, "│", " │ ")</f>
        <v xml:space="preserve"> │ </v>
      </c>
      <c r="J49" s="24" t="str">
        <f ca="1">IF(INT(J48)=1, "│", " │ ")</f>
        <v xml:space="preserve"> │ </v>
      </c>
      <c r="K49" s="24" t="str">
        <f ca="1">IF(INT(K48)=1, "│", " │ ")</f>
        <v xml:space="preserve"> │ </v>
      </c>
      <c r="L49" s="8"/>
      <c r="M49" s="24" t="str">
        <f ca="1">IF(INT(M48)=1, "│", " │ ")</f>
        <v xml:space="preserve"> │ </v>
      </c>
      <c r="N49" s="24" t="str">
        <f ca="1">IF(INT(N48)=1, "│", " │ ")</f>
        <v xml:space="preserve"> │ </v>
      </c>
      <c r="O49" s="24" t="str">
        <f ca="1">IF(INT(O48)=1, "│", " │ ")</f>
        <v>│</v>
      </c>
      <c r="P49" s="24" t="str">
        <f ca="1">IF(INT(P48)=1, "│", " │ ")</f>
        <v xml:space="preserve"> │ </v>
      </c>
      <c r="Q49" s="8"/>
      <c r="R49" s="24" t="str">
        <f ca="1">IF(INT(R48)=1, "│", " │ ")</f>
        <v xml:space="preserve"> │ </v>
      </c>
      <c r="S49" s="24" t="str">
        <f ca="1">IF(INT(S48)=1, "│", " │ ")</f>
        <v xml:space="preserve"> │ </v>
      </c>
      <c r="T49" s="24" t="str">
        <f ca="1">IF(INT(T48)=1, "│", " │ ")</f>
        <v>│</v>
      </c>
      <c r="U49" s="24" t="str">
        <f ca="1">IF(INT(U48)=1, "│", " │ ")</f>
        <v xml:space="preserve"> │ </v>
      </c>
    </row>
    <row r="50" spans="1:23" ht="15.75">
      <c r="C50" s="102" t="s">
        <v>30</v>
      </c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4"/>
    </row>
    <row r="51" spans="1:23" ht="15.75" thickBot="1">
      <c r="C51" s="24" t="str">
        <f ca="1">IF(INT(C48)=1, "│", " │ ")</f>
        <v xml:space="preserve"> │ </v>
      </c>
      <c r="D51" s="24" t="str">
        <f t="shared" ref="D51:F51" ca="1" si="31">IF(INT(D48)=1, "│", " │ ")</f>
        <v xml:space="preserve"> │ </v>
      </c>
      <c r="E51" s="24" t="str">
        <f t="shared" ca="1" si="31"/>
        <v xml:space="preserve"> │ </v>
      </c>
      <c r="F51" s="24" t="str">
        <f t="shared" ca="1" si="31"/>
        <v xml:space="preserve"> │ </v>
      </c>
      <c r="G51" s="8"/>
      <c r="H51" s="24" t="str">
        <f t="shared" ref="H51:K51" ca="1" si="32">IF(INT(H48)=1, "│", " │ ")</f>
        <v xml:space="preserve"> │ </v>
      </c>
      <c r="I51" s="24" t="str">
        <f t="shared" ca="1" si="32"/>
        <v xml:space="preserve"> │ </v>
      </c>
      <c r="J51" s="24" t="str">
        <f t="shared" ca="1" si="32"/>
        <v xml:space="preserve"> │ </v>
      </c>
      <c r="K51" s="24" t="str">
        <f t="shared" ca="1" si="32"/>
        <v xml:space="preserve"> │ </v>
      </c>
      <c r="L51" s="8"/>
      <c r="M51" s="24" t="str">
        <f t="shared" ref="M51:P51" ca="1" si="33">IF(INT(M48)=1, "│", " │ ")</f>
        <v xml:space="preserve"> │ </v>
      </c>
      <c r="N51" s="24" t="str">
        <f t="shared" ca="1" si="33"/>
        <v xml:space="preserve"> │ </v>
      </c>
      <c r="O51" s="24" t="str">
        <f t="shared" ca="1" si="33"/>
        <v>│</v>
      </c>
      <c r="P51" s="24" t="str">
        <f t="shared" ca="1" si="33"/>
        <v xml:space="preserve"> │ </v>
      </c>
      <c r="Q51" s="8"/>
      <c r="R51" s="24" t="str">
        <f t="shared" ref="R51:U51" ca="1" si="34">IF(INT(R48)=1, "│", " │ ")</f>
        <v xml:space="preserve"> │ </v>
      </c>
      <c r="S51" s="24" t="str">
        <f t="shared" ca="1" si="34"/>
        <v xml:space="preserve"> │ </v>
      </c>
      <c r="T51" s="24" t="str">
        <f t="shared" ca="1" si="34"/>
        <v>│</v>
      </c>
      <c r="U51" s="24" t="str">
        <f t="shared" ca="1" si="34"/>
        <v xml:space="preserve"> │ </v>
      </c>
    </row>
    <row r="52" spans="1:23" ht="19.5" thickBot="1">
      <c r="A52" s="2" t="s">
        <v>31</v>
      </c>
      <c r="C52" s="18" t="str">
        <f ca="1">C48</f>
        <v>0</v>
      </c>
      <c r="D52" s="19" t="str">
        <f ca="1">D48</f>
        <v>0</v>
      </c>
      <c r="E52" s="19" t="str">
        <f ca="1">E48</f>
        <v>0</v>
      </c>
      <c r="F52" s="19" t="str">
        <f ca="1">F48</f>
        <v>0</v>
      </c>
      <c r="G52" s="19"/>
      <c r="H52" s="19" t="str">
        <f ca="1">H48</f>
        <v>0</v>
      </c>
      <c r="I52" s="19" t="str">
        <f ca="1">I48</f>
        <v>0</v>
      </c>
      <c r="J52" s="19" t="str">
        <f ca="1">J48</f>
        <v>0</v>
      </c>
      <c r="K52" s="19" t="str">
        <f ca="1">K48</f>
        <v>0</v>
      </c>
      <c r="L52" s="19"/>
      <c r="M52" s="19" t="str">
        <f ca="1">M48</f>
        <v>0</v>
      </c>
      <c r="N52" s="19" t="str">
        <f ca="1">N48</f>
        <v>0</v>
      </c>
      <c r="O52" s="19" t="str">
        <f ca="1">O48</f>
        <v>1</v>
      </c>
      <c r="P52" s="19" t="str">
        <f ca="1">P48</f>
        <v>0</v>
      </c>
      <c r="Q52" s="19"/>
      <c r="R52" s="19" t="str">
        <f ca="1">R48</f>
        <v>0</v>
      </c>
      <c r="S52" s="19" t="str">
        <f ca="1">S48</f>
        <v>0</v>
      </c>
      <c r="T52" s="19" t="str">
        <f ca="1">T48</f>
        <v>1</v>
      </c>
      <c r="U52" s="20" t="str">
        <f ca="1">U48</f>
        <v>0</v>
      </c>
      <c r="W52" s="22" t="str">
        <f ca="1">"With probability "&amp;ROUND(PRODUCT(W33:Z33,W39:Z39,W45:Z45)*100, 2)&amp;"%"</f>
        <v>With probability 1.98%</v>
      </c>
    </row>
    <row r="53" spans="1:23"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W53" t="s">
        <v>39</v>
      </c>
    </row>
    <row r="54" spans="1:23" ht="18.75">
      <c r="C54" s="112" t="s">
        <v>0</v>
      </c>
      <c r="D54" s="113"/>
      <c r="E54" s="113"/>
      <c r="F54" s="114"/>
      <c r="G54" s="25"/>
      <c r="H54" s="115" t="s">
        <v>0</v>
      </c>
      <c r="I54" s="116"/>
      <c r="J54" s="116"/>
      <c r="K54" s="117"/>
      <c r="L54" s="25"/>
      <c r="M54" s="112" t="s">
        <v>0</v>
      </c>
      <c r="N54" s="113"/>
      <c r="O54" s="113"/>
      <c r="P54" s="114"/>
      <c r="Q54" s="25"/>
      <c r="R54" s="112" t="s">
        <v>0</v>
      </c>
      <c r="S54" s="113"/>
      <c r="T54" s="113"/>
      <c r="U54" s="114"/>
    </row>
    <row r="55" spans="1:23">
      <c r="A55" s="2" t="s">
        <v>44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</row>
    <row r="56" spans="1:23" ht="15.75">
      <c r="C56" s="109" t="s">
        <v>32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1"/>
    </row>
    <row r="57" spans="1:23"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</row>
    <row r="58" spans="1:23" ht="15.75">
      <c r="C58" s="109" t="s">
        <v>41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1"/>
    </row>
  </sheetData>
  <sheetProtection sheet="1" objects="1" scenarios="1"/>
  <mergeCells count="30">
    <mergeCell ref="C58:U58"/>
    <mergeCell ref="D28:S28"/>
    <mergeCell ref="C54:F54"/>
    <mergeCell ref="H54:K54"/>
    <mergeCell ref="M54:P54"/>
    <mergeCell ref="R54:U54"/>
    <mergeCell ref="C56:U56"/>
    <mergeCell ref="C50:U50"/>
    <mergeCell ref="B3:C3"/>
    <mergeCell ref="D6:S6"/>
    <mergeCell ref="C44:U44"/>
    <mergeCell ref="C46:F46"/>
    <mergeCell ref="H46:K46"/>
    <mergeCell ref="M46:P46"/>
    <mergeCell ref="R46:U46"/>
    <mergeCell ref="D1:S1"/>
    <mergeCell ref="D8:S8"/>
    <mergeCell ref="B10:B25"/>
    <mergeCell ref="V8:AA8"/>
    <mergeCell ref="C40:F40"/>
    <mergeCell ref="H40:K40"/>
    <mergeCell ref="M40:P40"/>
    <mergeCell ref="R40:U40"/>
    <mergeCell ref="C32:U32"/>
    <mergeCell ref="C34:F34"/>
    <mergeCell ref="H34:K34"/>
    <mergeCell ref="M34:P34"/>
    <mergeCell ref="R34:U34"/>
    <mergeCell ref="C38:U38"/>
    <mergeCell ref="B2:C2"/>
  </mergeCells>
  <conditionalFormatting sqref="D10:S25">
    <cfRule type="cellIs" dxfId="5" priority="9" operator="equal">
      <formula>0</formula>
    </cfRule>
  </conditionalFormatting>
  <conditionalFormatting sqref="C29:U46 C51:U51 C49:U49">
    <cfRule type="cellIs" dxfId="4" priority="7" operator="equal">
      <formula>"S"</formula>
    </cfRule>
  </conditionalFormatting>
  <conditionalFormatting sqref="C30:U51">
    <cfRule type="cellIs" dxfId="3" priority="4" operator="equal">
      <formula>"│"</formula>
    </cfRule>
    <cfRule type="cellIs" dxfId="2" priority="5" operator="equal">
      <formula>"1"</formula>
    </cfRule>
    <cfRule type="cellIs" dxfId="1" priority="6" operator="equal">
      <formula>1</formula>
    </cfRule>
  </conditionalFormatting>
  <conditionalFormatting sqref="D3:S3">
    <cfRule type="duplicateValues" dxfId="0" priority="1"/>
  </conditionalFormatting>
  <dataValidations count="1">
    <dataValidation type="whole" errorStyle="warning" showErrorMessage="1" errorTitle="Must be a binary digit (0 or 1)" sqref="R30:U30 M30:P30 H30:K30 C30:F30">
      <formula1>0</formula1>
      <formula2>1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O3535"/>
  <sheetViews>
    <sheetView showGridLines="0" tabSelected="1" workbookViewId="0">
      <selection activeCell="D20" sqref="D20"/>
    </sheetView>
  </sheetViews>
  <sheetFormatPr defaultRowHeight="15"/>
  <cols>
    <col min="1" max="1" width="33.28515625" style="2" customWidth="1"/>
    <col min="2" max="2" width="3.5703125" customWidth="1"/>
    <col min="3" max="21" width="3.28515625" style="26" customWidth="1"/>
    <col min="22" max="22" width="8.140625" customWidth="1"/>
    <col min="23" max="23" width="8.28515625" customWidth="1"/>
    <col min="24" max="24" width="8.42578125" customWidth="1"/>
  </cols>
  <sheetData>
    <row r="1" spans="1:41" ht="18.75">
      <c r="A1" s="68" t="s">
        <v>43</v>
      </c>
      <c r="B1" s="69"/>
      <c r="C1" s="70"/>
      <c r="D1" s="118" t="s">
        <v>49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70"/>
      <c r="U1" s="70"/>
      <c r="V1" s="69"/>
      <c r="W1" s="69"/>
      <c r="X1" s="69"/>
      <c r="Y1" s="69"/>
      <c r="Z1" s="69"/>
      <c r="AA1" s="69"/>
      <c r="AB1" s="32"/>
      <c r="AC1" s="32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</row>
    <row r="2" spans="1:41" ht="18.75">
      <c r="A2" s="71" t="s">
        <v>61</v>
      </c>
      <c r="B2" s="119" t="s">
        <v>18</v>
      </c>
      <c r="C2" s="120"/>
      <c r="D2" s="72" t="str">
        <f>"0"</f>
        <v>0</v>
      </c>
      <c r="E2" s="73" t="str">
        <f>DEC2HEX(HEX2DEC(D2)+1)</f>
        <v>1</v>
      </c>
      <c r="F2" s="73" t="str">
        <f t="shared" ref="F2:S2" si="0">DEC2HEX(HEX2DEC(E2)+1)</f>
        <v>2</v>
      </c>
      <c r="G2" s="73" t="str">
        <f t="shared" si="0"/>
        <v>3</v>
      </c>
      <c r="H2" s="73" t="str">
        <f t="shared" si="0"/>
        <v>4</v>
      </c>
      <c r="I2" s="73" t="str">
        <f t="shared" si="0"/>
        <v>5</v>
      </c>
      <c r="J2" s="73" t="str">
        <f t="shared" si="0"/>
        <v>6</v>
      </c>
      <c r="K2" s="73" t="str">
        <f t="shared" si="0"/>
        <v>7</v>
      </c>
      <c r="L2" s="73" t="str">
        <f t="shared" si="0"/>
        <v>8</v>
      </c>
      <c r="M2" s="73" t="str">
        <f t="shared" si="0"/>
        <v>9</v>
      </c>
      <c r="N2" s="73" t="str">
        <f t="shared" si="0"/>
        <v>A</v>
      </c>
      <c r="O2" s="73" t="str">
        <f t="shared" si="0"/>
        <v>B</v>
      </c>
      <c r="P2" s="73" t="str">
        <f t="shared" si="0"/>
        <v>C</v>
      </c>
      <c r="Q2" s="73" t="str">
        <f t="shared" si="0"/>
        <v>D</v>
      </c>
      <c r="R2" s="73" t="str">
        <f t="shared" si="0"/>
        <v>E</v>
      </c>
      <c r="S2" s="74" t="str">
        <f t="shared" si="0"/>
        <v>F</v>
      </c>
      <c r="T2" s="70"/>
      <c r="U2" s="70"/>
      <c r="V2" s="69"/>
      <c r="W2" s="69"/>
      <c r="X2" s="69"/>
      <c r="Y2" s="69"/>
      <c r="Z2" s="69"/>
      <c r="AA2" s="69"/>
      <c r="AB2" s="32"/>
      <c r="AC2" s="32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</row>
    <row r="3" spans="1:41" ht="18.75">
      <c r="A3" s="75"/>
      <c r="B3" s="121" t="s">
        <v>19</v>
      </c>
      <c r="C3" s="122"/>
      <c r="D3" s="38">
        <v>4</v>
      </c>
      <c r="E3" s="39">
        <v>2</v>
      </c>
      <c r="F3" s="39">
        <v>0</v>
      </c>
      <c r="G3" s="39" t="s">
        <v>7</v>
      </c>
      <c r="H3" s="39" t="s">
        <v>2</v>
      </c>
      <c r="I3" s="39" t="s">
        <v>4</v>
      </c>
      <c r="J3" s="39" t="s">
        <v>5</v>
      </c>
      <c r="K3" s="39" t="s">
        <v>6</v>
      </c>
      <c r="L3" s="39">
        <v>7</v>
      </c>
      <c r="M3" s="39">
        <v>1</v>
      </c>
      <c r="N3" s="39">
        <v>8</v>
      </c>
      <c r="O3" s="39" t="s">
        <v>3</v>
      </c>
      <c r="P3" s="39">
        <v>6</v>
      </c>
      <c r="Q3" s="39">
        <v>5</v>
      </c>
      <c r="R3" s="39">
        <v>9</v>
      </c>
      <c r="S3" s="40">
        <v>3</v>
      </c>
      <c r="T3" s="70"/>
      <c r="U3" s="70"/>
      <c r="V3" s="69" t="s">
        <v>40</v>
      </c>
      <c r="W3" s="69"/>
      <c r="X3" s="69"/>
      <c r="Y3" s="69"/>
      <c r="Z3" s="69"/>
      <c r="AA3" s="69"/>
      <c r="AB3" s="32"/>
      <c r="AC3" s="32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</row>
    <row r="4" spans="1:41" ht="18.75">
      <c r="A4" s="75"/>
      <c r="B4" s="76"/>
      <c r="C4" s="76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0"/>
      <c r="U4" s="70"/>
      <c r="V4" s="69"/>
      <c r="W4" s="69"/>
      <c r="X4" s="69"/>
      <c r="Y4" s="69"/>
      <c r="Z4" s="69"/>
      <c r="AA4" s="69"/>
      <c r="AB4" s="32"/>
      <c r="AC4" s="32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</row>
    <row r="5" spans="1:41" ht="18.75">
      <c r="A5" s="75"/>
      <c r="B5" s="69"/>
      <c r="C5" s="70"/>
      <c r="D5" s="118" t="s">
        <v>50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70"/>
      <c r="U5" s="70"/>
      <c r="V5" s="69"/>
      <c r="W5" s="69"/>
      <c r="X5" s="69"/>
      <c r="Y5" s="69"/>
      <c r="Z5" s="69"/>
      <c r="AA5" s="69"/>
      <c r="AB5" s="32"/>
      <c r="AC5" s="32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</row>
    <row r="6" spans="1:41" ht="15.75">
      <c r="A6" s="75"/>
      <c r="B6" s="119" t="s">
        <v>18</v>
      </c>
      <c r="C6" s="120"/>
      <c r="D6" s="78">
        <v>0</v>
      </c>
      <c r="E6" s="79">
        <v>1</v>
      </c>
      <c r="F6" s="79">
        <v>2</v>
      </c>
      <c r="G6" s="79">
        <v>3</v>
      </c>
      <c r="H6" s="79">
        <v>4</v>
      </c>
      <c r="I6" s="79">
        <v>5</v>
      </c>
      <c r="J6" s="79">
        <v>6</v>
      </c>
      <c r="K6" s="79">
        <v>7</v>
      </c>
      <c r="L6" s="79">
        <v>8</v>
      </c>
      <c r="M6" s="79">
        <v>9</v>
      </c>
      <c r="N6" s="79">
        <v>10</v>
      </c>
      <c r="O6" s="79">
        <v>11</v>
      </c>
      <c r="P6" s="79">
        <v>12</v>
      </c>
      <c r="Q6" s="79">
        <v>13</v>
      </c>
      <c r="R6" s="79">
        <v>14</v>
      </c>
      <c r="S6" s="80">
        <v>15</v>
      </c>
      <c r="T6" s="70"/>
      <c r="U6" s="70"/>
      <c r="V6" s="69"/>
      <c r="W6" s="69"/>
      <c r="X6" s="69"/>
      <c r="Y6" s="69"/>
      <c r="Z6" s="69"/>
      <c r="AA6" s="69"/>
      <c r="AB6" s="32"/>
      <c r="AC6" s="32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</row>
    <row r="7" spans="1:41" ht="15.75">
      <c r="A7" s="75"/>
      <c r="B7" s="121" t="s">
        <v>19</v>
      </c>
      <c r="C7" s="122"/>
      <c r="D7" s="61">
        <v>0</v>
      </c>
      <c r="E7" s="62">
        <v>4</v>
      </c>
      <c r="F7" s="62">
        <v>8</v>
      </c>
      <c r="G7" s="62">
        <v>12</v>
      </c>
      <c r="H7" s="62">
        <v>1</v>
      </c>
      <c r="I7" s="62">
        <v>5</v>
      </c>
      <c r="J7" s="62">
        <v>9</v>
      </c>
      <c r="K7" s="62">
        <v>13</v>
      </c>
      <c r="L7" s="62">
        <v>2</v>
      </c>
      <c r="M7" s="62">
        <v>6</v>
      </c>
      <c r="N7" s="62">
        <v>10</v>
      </c>
      <c r="O7" s="62">
        <v>14</v>
      </c>
      <c r="P7" s="62">
        <v>3</v>
      </c>
      <c r="Q7" s="62">
        <v>7</v>
      </c>
      <c r="R7" s="62">
        <v>11</v>
      </c>
      <c r="S7" s="63">
        <v>15</v>
      </c>
      <c r="T7" s="70"/>
      <c r="U7" s="70"/>
      <c r="V7" s="69" t="s">
        <v>58</v>
      </c>
      <c r="W7" s="69"/>
      <c r="X7" s="69"/>
      <c r="Y7" s="69"/>
      <c r="Z7" s="69"/>
      <c r="AA7" s="69"/>
      <c r="AB7" s="32"/>
      <c r="AC7" s="32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</row>
    <row r="8" spans="1:41" ht="18.75">
      <c r="A8" s="75"/>
      <c r="B8" s="76"/>
      <c r="C8" s="76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0"/>
      <c r="U8" s="70"/>
      <c r="V8" s="69"/>
      <c r="W8" s="69"/>
      <c r="X8" s="69"/>
      <c r="Y8" s="69"/>
      <c r="Z8" s="69"/>
      <c r="AA8" s="69"/>
      <c r="AB8" s="32"/>
      <c r="AC8" s="32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</row>
    <row r="9" spans="1:41" ht="18.75">
      <c r="A9" s="75"/>
      <c r="B9" s="76"/>
      <c r="C9" s="76"/>
      <c r="D9" s="118" t="s">
        <v>47</v>
      </c>
      <c r="E9" s="118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70"/>
      <c r="U9" s="70"/>
      <c r="V9" s="69"/>
      <c r="W9" s="69"/>
      <c r="X9" s="69"/>
      <c r="Y9" s="69"/>
      <c r="Z9" s="69"/>
      <c r="AA9" s="69"/>
      <c r="AB9" s="32"/>
      <c r="AC9" s="32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</row>
    <row r="10" spans="1:41" ht="18.75">
      <c r="A10" s="75"/>
      <c r="B10" s="76"/>
      <c r="C10" s="76"/>
      <c r="D10" s="81" t="s">
        <v>27</v>
      </c>
      <c r="E10" s="77"/>
      <c r="F10" s="124" t="s">
        <v>52</v>
      </c>
      <c r="G10" s="124"/>
      <c r="H10" s="124"/>
      <c r="I10" s="124"/>
      <c r="J10" s="77"/>
      <c r="K10" s="77"/>
      <c r="L10" s="81" t="s">
        <v>30</v>
      </c>
      <c r="M10" s="77"/>
      <c r="N10" s="124" t="s">
        <v>55</v>
      </c>
      <c r="O10" s="124"/>
      <c r="P10" s="124"/>
      <c r="Q10" s="124"/>
      <c r="R10" s="77"/>
      <c r="S10" s="77"/>
      <c r="T10" s="70"/>
      <c r="U10" s="70"/>
      <c r="V10" s="82">
        <f>HEX2DEC(F10)</f>
        <v>14996</v>
      </c>
      <c r="W10" s="82">
        <f>HEX2DEC(N10)</f>
        <v>19811</v>
      </c>
      <c r="X10" s="69"/>
      <c r="Y10" s="69"/>
      <c r="Z10" s="69"/>
      <c r="AA10" s="69"/>
      <c r="AB10" s="32"/>
      <c r="AC10" s="32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</row>
    <row r="11" spans="1:41" ht="18.75">
      <c r="A11" s="75"/>
      <c r="B11" s="76"/>
      <c r="C11" s="76"/>
      <c r="D11" s="81" t="s">
        <v>26</v>
      </c>
      <c r="E11" s="77"/>
      <c r="F11" s="124" t="s">
        <v>53</v>
      </c>
      <c r="G11" s="124"/>
      <c r="H11" s="124"/>
      <c r="I11" s="124"/>
      <c r="J11" s="77"/>
      <c r="K11" s="77"/>
      <c r="L11" s="81" t="s">
        <v>32</v>
      </c>
      <c r="M11" s="77"/>
      <c r="N11" s="124" t="s">
        <v>60</v>
      </c>
      <c r="O11" s="124"/>
      <c r="P11" s="124"/>
      <c r="Q11" s="124"/>
      <c r="R11" s="77"/>
      <c r="S11" s="77"/>
      <c r="T11" s="70"/>
      <c r="U11" s="70"/>
      <c r="V11" s="82">
        <f>HEX2DEC(F11)</f>
        <v>43341</v>
      </c>
      <c r="W11" s="82">
        <f>HEX2DEC(N11)</f>
        <v>29348</v>
      </c>
      <c r="X11" s="69"/>
      <c r="Y11" s="69"/>
      <c r="Z11" s="69"/>
      <c r="AA11" s="69"/>
      <c r="AB11" s="32"/>
      <c r="AC11" s="32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</row>
    <row r="12" spans="1:41" ht="18.75">
      <c r="A12" s="75"/>
      <c r="B12" s="76"/>
      <c r="C12" s="76"/>
      <c r="D12" s="81" t="s">
        <v>28</v>
      </c>
      <c r="E12" s="77"/>
      <c r="F12" s="124" t="s">
        <v>54</v>
      </c>
      <c r="G12" s="124"/>
      <c r="H12" s="124"/>
      <c r="I12" s="124"/>
      <c r="J12" s="77"/>
      <c r="K12" s="77"/>
      <c r="L12" s="77"/>
      <c r="M12" s="77"/>
      <c r="N12" s="125"/>
      <c r="O12" s="125"/>
      <c r="P12" s="125"/>
      <c r="Q12" s="125"/>
      <c r="R12" s="77"/>
      <c r="S12" s="77"/>
      <c r="T12" s="70"/>
      <c r="U12" s="70"/>
      <c r="V12" s="82">
        <f>HEX2DEC(F12)</f>
        <v>38102</v>
      </c>
      <c r="W12" s="82"/>
      <c r="X12" s="69"/>
      <c r="Y12" s="69"/>
      <c r="Z12" s="69"/>
      <c r="AA12" s="69"/>
      <c r="AB12" s="32"/>
      <c r="AC12" s="32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</row>
    <row r="13" spans="1:41" ht="18.75">
      <c r="A13" s="75"/>
      <c r="B13" s="76"/>
      <c r="C13" s="76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0"/>
      <c r="U13" s="70"/>
      <c r="V13" s="69"/>
      <c r="W13" s="69"/>
      <c r="X13" s="69"/>
      <c r="Y13" s="69"/>
      <c r="Z13" s="69"/>
      <c r="AA13" s="69"/>
      <c r="AB13" s="32"/>
      <c r="AC13" s="32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</row>
    <row r="14" spans="1:41">
      <c r="A14" s="51"/>
      <c r="B14" s="52"/>
      <c r="C14" s="52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</row>
    <row r="15" spans="1:41" ht="26.25" customHeight="1">
      <c r="A15" s="51"/>
      <c r="B15" s="52"/>
      <c r="C15" s="52"/>
      <c r="D15" s="59" t="s">
        <v>48</v>
      </c>
      <c r="W15" s="55"/>
      <c r="X15" s="55"/>
      <c r="Y15" s="55"/>
      <c r="Z15" s="65" t="s">
        <v>57</v>
      </c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</row>
    <row r="16" spans="1:41" ht="22.5" customHeight="1">
      <c r="A16" s="51"/>
      <c r="B16" s="55"/>
      <c r="C16" s="53"/>
      <c r="D16" s="59" t="s">
        <v>46</v>
      </c>
      <c r="E16" s="59"/>
      <c r="F16" s="59"/>
      <c r="G16" s="59"/>
      <c r="H16" s="59"/>
      <c r="I16" s="59"/>
      <c r="J16" s="59"/>
      <c r="K16" s="59"/>
      <c r="L16" s="59"/>
      <c r="M16" s="59"/>
      <c r="N16" s="123" t="str">
        <f>"0404"</f>
        <v>0404</v>
      </c>
      <c r="O16" s="123"/>
      <c r="P16" s="123"/>
      <c r="Q16" s="123"/>
      <c r="R16" s="123"/>
      <c r="S16" s="123"/>
      <c r="T16" s="60"/>
      <c r="U16" s="60"/>
      <c r="V16" s="54">
        <f>HEX2DEC(N16)</f>
        <v>1028</v>
      </c>
      <c r="W16" s="55"/>
      <c r="X16" s="55"/>
      <c r="Y16" s="55"/>
      <c r="Z16" s="66" t="str">
        <f>DEC2HEX(Encrypt(HEX2DEC("26B7"),$D$2:$S$3,$D$6:$S$7,$V$10,$V$11,$V$12,$W$10,$W$11), 4)</f>
        <v>7A34</v>
      </c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6"/>
    </row>
    <row r="17" spans="1:41" ht="18.75">
      <c r="A17" s="57"/>
      <c r="B17" s="56"/>
      <c r="C17" s="58"/>
      <c r="D17" s="59" t="s">
        <v>51</v>
      </c>
      <c r="E17" s="58"/>
      <c r="F17" s="58"/>
      <c r="G17" s="58"/>
      <c r="H17" s="58"/>
      <c r="I17" s="58"/>
      <c r="J17" s="58"/>
      <c r="K17" s="58"/>
      <c r="L17" s="58"/>
      <c r="M17" s="58"/>
      <c r="N17" s="123" t="str">
        <f>"0022"</f>
        <v>0022</v>
      </c>
      <c r="O17" s="123"/>
      <c r="P17" s="123"/>
      <c r="Q17" s="123"/>
      <c r="R17" s="123"/>
      <c r="S17" s="123"/>
      <c r="T17" s="58"/>
      <c r="U17" s="58"/>
      <c r="V17" s="56"/>
      <c r="W17" s="56"/>
      <c r="X17" s="56"/>
      <c r="Y17" s="56"/>
      <c r="Z17" s="67" t="s">
        <v>56</v>
      </c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</row>
    <row r="19" spans="1:41">
      <c r="C19" s="46"/>
      <c r="D19" s="126" t="str">
        <f ca="1">DiffCryptGuessKey(D2:S3, B22:E850, HEX2DEC(N17))</f>
        <v>K5 is likely ??A4 based on 52 rows of (x,x*,y,y*) (777 out of 829 rows unused). It has a count of 20, i.e. occurrence of 2.41%.</v>
      </c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126"/>
      <c r="V19" s="126"/>
      <c r="W19" s="126"/>
      <c r="X19" s="126"/>
      <c r="Y19" s="126"/>
      <c r="Z19" s="126"/>
      <c r="AA19" s="126"/>
    </row>
    <row r="20" spans="1:41"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</row>
    <row r="21" spans="1:41">
      <c r="H21" s="50" t="s">
        <v>13</v>
      </c>
      <c r="J21" s="50" t="s">
        <v>11</v>
      </c>
      <c r="M21" s="50" t="s">
        <v>14</v>
      </c>
      <c r="O21" s="50" t="s">
        <v>15</v>
      </c>
    </row>
    <row r="22" spans="1:41">
      <c r="B22" s="48">
        <f ca="1">RANDBETWEEN(1,2^16-1)</f>
        <v>41676</v>
      </c>
      <c r="C22" s="49">
        <f ca="1">BitXOR(B22, $V$16)</f>
        <v>42696</v>
      </c>
      <c r="D22" s="64">
        <f ca="1">Encrypt(B22, $D$2:$S$3, $D$6:$S$7, $V$10,$V$11,$V$12,$W$10,$W$11)</f>
        <v>45505</v>
      </c>
      <c r="E22" s="64">
        <f t="shared" ref="E22:E36" ca="1" si="1">Encrypt(C22, $D$2:$S$3, $D$6:$S$7, $V$10,$V$11,$V$12,$W$10,$W$11)</f>
        <v>16770</v>
      </c>
      <c r="H22" s="47" t="str">
        <f t="shared" ref="H22:H36" ca="1" si="2">DEC2HEX(B22,4)</f>
        <v>A2CC</v>
      </c>
      <c r="J22" s="47" t="str">
        <f t="shared" ref="J22:J36" ca="1" si="3">DEC2HEX(C22,4)</f>
        <v>A6C8</v>
      </c>
      <c r="M22" s="47" t="str">
        <f t="shared" ref="M22:M36" ca="1" si="4">DEC2HEX(D22,4)</f>
        <v>B1C1</v>
      </c>
      <c r="O22" s="47" t="str">
        <f t="shared" ref="O22:O36" ca="1" si="5">DEC2HEX(E22,4)</f>
        <v>4182</v>
      </c>
    </row>
    <row r="23" spans="1:41">
      <c r="B23" s="48">
        <f t="shared" ref="B23:B86" ca="1" si="6">RANDBETWEEN(1,2^16-1)</f>
        <v>64342</v>
      </c>
      <c r="C23" s="49">
        <f ca="1">BitXOR(B23, $V$16)</f>
        <v>65362</v>
      </c>
      <c r="D23" s="64">
        <f t="shared" ref="D23:D36" ca="1" si="7">Encrypt(B23, $D$2:$S$3, $D$6:$S$7, $V$10,$V$11,$V$12,$W$10,$W$11)</f>
        <v>11427</v>
      </c>
      <c r="E23" s="64">
        <f t="shared" ca="1" si="1"/>
        <v>39484</v>
      </c>
      <c r="H23" s="47" t="str">
        <f t="shared" ca="1" si="2"/>
        <v>FB56</v>
      </c>
      <c r="J23" s="47" t="str">
        <f t="shared" ca="1" si="3"/>
        <v>FF52</v>
      </c>
      <c r="M23" s="47" t="str">
        <f t="shared" ca="1" si="4"/>
        <v>2CA3</v>
      </c>
      <c r="O23" s="47" t="str">
        <f t="shared" ca="1" si="5"/>
        <v>9A3C</v>
      </c>
    </row>
    <row r="24" spans="1:41">
      <c r="B24" s="48">
        <f t="shared" ca="1" si="6"/>
        <v>43676</v>
      </c>
      <c r="C24" s="49">
        <f ca="1">BitXOR(B24, $V$16)</f>
        <v>44696</v>
      </c>
      <c r="D24" s="64">
        <f t="shared" ca="1" si="7"/>
        <v>63014</v>
      </c>
      <c r="E24" s="64">
        <f t="shared" ca="1" si="1"/>
        <v>62238</v>
      </c>
      <c r="H24" s="47" t="str">
        <f t="shared" ca="1" si="2"/>
        <v>AA9C</v>
      </c>
      <c r="J24" s="47" t="str">
        <f t="shared" ca="1" si="3"/>
        <v>AE98</v>
      </c>
      <c r="M24" s="47" t="str">
        <f t="shared" ca="1" si="4"/>
        <v>F626</v>
      </c>
      <c r="O24" s="47" t="str">
        <f t="shared" ca="1" si="5"/>
        <v>F31E</v>
      </c>
    </row>
    <row r="25" spans="1:41">
      <c r="B25" s="48">
        <f t="shared" ca="1" si="6"/>
        <v>65490</v>
      </c>
      <c r="C25" s="49">
        <f ca="1">BitXOR(B25, $V$16)</f>
        <v>64470</v>
      </c>
      <c r="D25" s="64">
        <f t="shared" ca="1" si="7"/>
        <v>38355</v>
      </c>
      <c r="E25" s="64">
        <f t="shared" ca="1" si="1"/>
        <v>5117</v>
      </c>
      <c r="H25" s="47" t="str">
        <f t="shared" ca="1" si="2"/>
        <v>FFD2</v>
      </c>
      <c r="J25" s="47" t="str">
        <f t="shared" ca="1" si="3"/>
        <v>FBD6</v>
      </c>
      <c r="M25" s="47" t="str">
        <f t="shared" ca="1" si="4"/>
        <v>95D3</v>
      </c>
      <c r="O25" s="47" t="str">
        <f t="shared" ca="1" si="5"/>
        <v>13FD</v>
      </c>
    </row>
    <row r="26" spans="1:41">
      <c r="B26" s="48">
        <f t="shared" ca="1" si="6"/>
        <v>37615</v>
      </c>
      <c r="C26" s="49">
        <f ca="1">BitXOR(B26, $V$16)</f>
        <v>38635</v>
      </c>
      <c r="D26" s="64">
        <f t="shared" ca="1" si="7"/>
        <v>32559</v>
      </c>
      <c r="E26" s="64">
        <f t="shared" ca="1" si="1"/>
        <v>42709</v>
      </c>
      <c r="H26" s="47" t="str">
        <f t="shared" ca="1" si="2"/>
        <v>92EF</v>
      </c>
      <c r="J26" s="47" t="str">
        <f t="shared" ca="1" si="3"/>
        <v>96EB</v>
      </c>
      <c r="M26" s="47" t="str">
        <f t="shared" ca="1" si="4"/>
        <v>7F2F</v>
      </c>
      <c r="O26" s="47" t="str">
        <f t="shared" ca="1" si="5"/>
        <v>A6D5</v>
      </c>
    </row>
    <row r="27" spans="1:41">
      <c r="B27" s="48">
        <f t="shared" ca="1" si="6"/>
        <v>48190</v>
      </c>
      <c r="C27" s="49">
        <f ca="1">BitXOR(B27, $V$16)</f>
        <v>47162</v>
      </c>
      <c r="D27" s="64">
        <f t="shared" ca="1" si="7"/>
        <v>32042</v>
      </c>
      <c r="E27" s="64">
        <f t="shared" ca="1" si="1"/>
        <v>45100</v>
      </c>
      <c r="H27" s="47" t="str">
        <f t="shared" ca="1" si="2"/>
        <v>BC3E</v>
      </c>
      <c r="J27" s="47" t="str">
        <f t="shared" ca="1" si="3"/>
        <v>B83A</v>
      </c>
      <c r="M27" s="47" t="str">
        <f t="shared" ca="1" si="4"/>
        <v>7D2A</v>
      </c>
      <c r="O27" s="47" t="str">
        <f t="shared" ca="1" si="5"/>
        <v>B02C</v>
      </c>
    </row>
    <row r="28" spans="1:41">
      <c r="B28" s="48">
        <f t="shared" ca="1" si="6"/>
        <v>61050</v>
      </c>
      <c r="C28" s="49">
        <f ca="1">BitXOR(B28, $V$16)</f>
        <v>60030</v>
      </c>
      <c r="D28" s="64">
        <f t="shared" ca="1" si="7"/>
        <v>36818</v>
      </c>
      <c r="E28" s="64">
        <f t="shared" ca="1" si="1"/>
        <v>18307</v>
      </c>
      <c r="H28" s="47" t="str">
        <f t="shared" ca="1" si="2"/>
        <v>EE7A</v>
      </c>
      <c r="J28" s="47" t="str">
        <f t="shared" ca="1" si="3"/>
        <v>EA7E</v>
      </c>
      <c r="M28" s="47" t="str">
        <f t="shared" ca="1" si="4"/>
        <v>8FD2</v>
      </c>
      <c r="O28" s="47" t="str">
        <f t="shared" ca="1" si="5"/>
        <v>4783</v>
      </c>
    </row>
    <row r="29" spans="1:41">
      <c r="B29" s="48">
        <f t="shared" ca="1" si="6"/>
        <v>24815</v>
      </c>
      <c r="C29" s="49">
        <f ca="1">BitXOR(B29, $V$16)</f>
        <v>25835</v>
      </c>
      <c r="D29" s="64">
        <f t="shared" ca="1" si="7"/>
        <v>62649</v>
      </c>
      <c r="E29" s="64">
        <f t="shared" ca="1" si="1"/>
        <v>20469</v>
      </c>
      <c r="H29" s="47" t="str">
        <f t="shared" ca="1" si="2"/>
        <v>60EF</v>
      </c>
      <c r="J29" s="47" t="str">
        <f t="shared" ca="1" si="3"/>
        <v>64EB</v>
      </c>
      <c r="M29" s="47" t="str">
        <f t="shared" ca="1" si="4"/>
        <v>F4B9</v>
      </c>
      <c r="O29" s="47" t="str">
        <f t="shared" ca="1" si="5"/>
        <v>4FF5</v>
      </c>
    </row>
    <row r="30" spans="1:41">
      <c r="B30" s="48">
        <f t="shared" ca="1" si="6"/>
        <v>58745</v>
      </c>
      <c r="C30" s="49">
        <f ca="1">BitXOR(B30, $V$16)</f>
        <v>57725</v>
      </c>
      <c r="D30" s="64">
        <f t="shared" ca="1" si="7"/>
        <v>45315</v>
      </c>
      <c r="E30" s="64">
        <f t="shared" ca="1" si="1"/>
        <v>21591</v>
      </c>
      <c r="H30" s="47" t="str">
        <f t="shared" ca="1" si="2"/>
        <v>E579</v>
      </c>
      <c r="J30" s="47" t="str">
        <f t="shared" ca="1" si="3"/>
        <v>E17D</v>
      </c>
      <c r="M30" s="47" t="str">
        <f t="shared" ca="1" si="4"/>
        <v>B103</v>
      </c>
      <c r="O30" s="47" t="str">
        <f t="shared" ca="1" si="5"/>
        <v>5457</v>
      </c>
    </row>
    <row r="31" spans="1:41">
      <c r="B31" s="48">
        <f t="shared" ca="1" si="6"/>
        <v>37639</v>
      </c>
      <c r="C31" s="49">
        <f ca="1">BitXOR(B31, $V$16)</f>
        <v>38659</v>
      </c>
      <c r="D31" s="64">
        <f t="shared" ca="1" si="7"/>
        <v>42409</v>
      </c>
      <c r="E31" s="64">
        <f t="shared" ca="1" si="1"/>
        <v>42379</v>
      </c>
      <c r="H31" s="47" t="str">
        <f t="shared" ca="1" si="2"/>
        <v>9307</v>
      </c>
      <c r="J31" s="47" t="str">
        <f t="shared" ca="1" si="3"/>
        <v>9703</v>
      </c>
      <c r="M31" s="47" t="str">
        <f t="shared" ca="1" si="4"/>
        <v>A5A9</v>
      </c>
      <c r="O31" s="47" t="str">
        <f t="shared" ca="1" si="5"/>
        <v>A58B</v>
      </c>
    </row>
    <row r="32" spans="1:41">
      <c r="B32" s="48">
        <f t="shared" ca="1" si="6"/>
        <v>52606</v>
      </c>
      <c r="C32" s="49">
        <f ca="1">BitXOR(B32, $V$16)</f>
        <v>51578</v>
      </c>
      <c r="D32" s="64">
        <f t="shared" ca="1" si="7"/>
        <v>24017</v>
      </c>
      <c r="E32" s="64">
        <f t="shared" ca="1" si="1"/>
        <v>48417</v>
      </c>
      <c r="H32" s="47" t="str">
        <f t="shared" ca="1" si="2"/>
        <v>CD7E</v>
      </c>
      <c r="J32" s="47" t="str">
        <f t="shared" ca="1" si="3"/>
        <v>C97A</v>
      </c>
      <c r="M32" s="47" t="str">
        <f t="shared" ca="1" si="4"/>
        <v>5DD1</v>
      </c>
      <c r="O32" s="47" t="str">
        <f t="shared" ca="1" si="5"/>
        <v>BD21</v>
      </c>
    </row>
    <row r="33" spans="2:15">
      <c r="B33" s="48">
        <f t="shared" ca="1" si="6"/>
        <v>14437</v>
      </c>
      <c r="C33" s="49">
        <f ca="1">BitXOR(B33, $V$16)</f>
        <v>15457</v>
      </c>
      <c r="D33" s="64">
        <f t="shared" ca="1" si="7"/>
        <v>25216</v>
      </c>
      <c r="E33" s="64">
        <f t="shared" ca="1" si="1"/>
        <v>908</v>
      </c>
      <c r="H33" s="47" t="str">
        <f t="shared" ca="1" si="2"/>
        <v>3865</v>
      </c>
      <c r="J33" s="47" t="str">
        <f t="shared" ca="1" si="3"/>
        <v>3C61</v>
      </c>
      <c r="M33" s="47" t="str">
        <f t="shared" ca="1" si="4"/>
        <v>6280</v>
      </c>
      <c r="O33" s="47" t="str">
        <f t="shared" ca="1" si="5"/>
        <v>038C</v>
      </c>
    </row>
    <row r="34" spans="2:15">
      <c r="B34" s="48">
        <f t="shared" ca="1" si="6"/>
        <v>40964</v>
      </c>
      <c r="C34" s="49">
        <f ca="1">BitXOR(B34, $V$16)</f>
        <v>41984</v>
      </c>
      <c r="D34" s="64">
        <f t="shared" ca="1" si="7"/>
        <v>42880</v>
      </c>
      <c r="E34" s="64">
        <f t="shared" ca="1" si="1"/>
        <v>64126</v>
      </c>
      <c r="H34" s="47" t="str">
        <f t="shared" ca="1" si="2"/>
        <v>A004</v>
      </c>
      <c r="J34" s="47" t="str">
        <f t="shared" ca="1" si="3"/>
        <v>A400</v>
      </c>
      <c r="M34" s="47" t="str">
        <f t="shared" ca="1" si="4"/>
        <v>A780</v>
      </c>
      <c r="O34" s="47" t="str">
        <f t="shared" ca="1" si="5"/>
        <v>FA7E</v>
      </c>
    </row>
    <row r="35" spans="2:15">
      <c r="B35" s="48">
        <f t="shared" ca="1" si="6"/>
        <v>39032</v>
      </c>
      <c r="C35" s="49">
        <f ca="1">BitXOR(B35, $V$16)</f>
        <v>40060</v>
      </c>
      <c r="D35" s="64">
        <f t="shared" ca="1" si="7"/>
        <v>63391</v>
      </c>
      <c r="E35" s="64">
        <f t="shared" ca="1" si="1"/>
        <v>41540</v>
      </c>
      <c r="H35" s="47" t="str">
        <f t="shared" ca="1" si="2"/>
        <v>9878</v>
      </c>
      <c r="J35" s="47" t="str">
        <f t="shared" ca="1" si="3"/>
        <v>9C7C</v>
      </c>
      <c r="M35" s="47" t="str">
        <f t="shared" ca="1" si="4"/>
        <v>F79F</v>
      </c>
      <c r="O35" s="47" t="str">
        <f t="shared" ca="1" si="5"/>
        <v>A244</v>
      </c>
    </row>
    <row r="36" spans="2:15">
      <c r="B36" s="48">
        <f t="shared" ca="1" si="6"/>
        <v>39326</v>
      </c>
      <c r="C36" s="49">
        <f ca="1">BitXOR(B36, $V$16)</f>
        <v>40346</v>
      </c>
      <c r="D36" s="64">
        <f t="shared" ca="1" si="7"/>
        <v>16478</v>
      </c>
      <c r="E36" s="64">
        <f t="shared" ca="1" si="1"/>
        <v>16506</v>
      </c>
      <c r="H36" s="47" t="str">
        <f t="shared" ca="1" si="2"/>
        <v>999E</v>
      </c>
      <c r="J36" s="47" t="str">
        <f t="shared" ca="1" si="3"/>
        <v>9D9A</v>
      </c>
      <c r="M36" s="47" t="str">
        <f t="shared" ca="1" si="4"/>
        <v>405E</v>
      </c>
      <c r="O36" s="47" t="str">
        <f t="shared" ca="1" si="5"/>
        <v>407A</v>
      </c>
    </row>
    <row r="37" spans="2:15">
      <c r="B37" s="48">
        <f t="shared" ca="1" si="6"/>
        <v>35402</v>
      </c>
      <c r="C37" s="49">
        <f ca="1">BitXOR(B37, $V$16)</f>
        <v>36430</v>
      </c>
      <c r="D37" s="64">
        <f t="shared" ref="D37:D100" ca="1" si="8">Encrypt(B37, $D$2:$S$3, $D$6:$S$7, $V$10,$V$11,$V$12,$W$10,$W$11)</f>
        <v>40361</v>
      </c>
      <c r="E37" s="64">
        <f t="shared" ref="E37:E100" ca="1" si="9">Encrypt(C37, $D$2:$S$3, $D$6:$S$7, $V$10,$V$11,$V$12,$W$10,$W$11)</f>
        <v>59358</v>
      </c>
      <c r="F37" s="89"/>
      <c r="G37" s="89"/>
      <c r="H37" s="47" t="str">
        <f t="shared" ref="H37:H100" ca="1" si="10">DEC2HEX(B37,4)</f>
        <v>8A4A</v>
      </c>
      <c r="I37" s="89"/>
      <c r="J37" s="47" t="str">
        <f t="shared" ref="J37:J100" ca="1" si="11">DEC2HEX(C37,4)</f>
        <v>8E4E</v>
      </c>
      <c r="K37" s="89"/>
      <c r="L37" s="89"/>
      <c r="M37" s="47" t="str">
        <f t="shared" ref="M37:M100" ca="1" si="12">DEC2HEX(D37,4)</f>
        <v>9DA9</v>
      </c>
      <c r="N37" s="89"/>
      <c r="O37" s="47" t="str">
        <f t="shared" ref="O37:O100" ca="1" si="13">DEC2HEX(E37,4)</f>
        <v>E7DE</v>
      </c>
    </row>
    <row r="38" spans="2:15">
      <c r="B38" s="48">
        <f t="shared" ca="1" si="6"/>
        <v>13299</v>
      </c>
      <c r="C38" s="49">
        <f ca="1">BitXOR(B38, $V$16)</f>
        <v>14327</v>
      </c>
      <c r="D38" s="64">
        <f t="shared" ca="1" si="8"/>
        <v>62354</v>
      </c>
      <c r="E38" s="64">
        <f t="shared" ca="1" si="9"/>
        <v>38899</v>
      </c>
      <c r="F38" s="89"/>
      <c r="G38" s="89"/>
      <c r="H38" s="47" t="str">
        <f t="shared" ca="1" si="10"/>
        <v>33F3</v>
      </c>
      <c r="I38" s="89"/>
      <c r="J38" s="47" t="str">
        <f t="shared" ca="1" si="11"/>
        <v>37F7</v>
      </c>
      <c r="K38" s="89"/>
      <c r="L38" s="89"/>
      <c r="M38" s="47" t="str">
        <f t="shared" ca="1" si="12"/>
        <v>F392</v>
      </c>
      <c r="N38" s="89"/>
      <c r="O38" s="47" t="str">
        <f t="shared" ca="1" si="13"/>
        <v>97F3</v>
      </c>
    </row>
    <row r="39" spans="2:15">
      <c r="B39" s="48">
        <f t="shared" ca="1" si="6"/>
        <v>50882</v>
      </c>
      <c r="C39" s="49">
        <f ca="1">BitXOR(B39, $V$16)</f>
        <v>49862</v>
      </c>
      <c r="D39" s="64">
        <f t="shared" ca="1" si="8"/>
        <v>994</v>
      </c>
      <c r="E39" s="64">
        <f t="shared" ca="1" si="9"/>
        <v>8969</v>
      </c>
      <c r="F39" s="89"/>
      <c r="G39" s="89"/>
      <c r="H39" s="47" t="str">
        <f t="shared" ca="1" si="10"/>
        <v>C6C2</v>
      </c>
      <c r="I39" s="89"/>
      <c r="J39" s="47" t="str">
        <f t="shared" ca="1" si="11"/>
        <v>C2C6</v>
      </c>
      <c r="K39" s="89"/>
      <c r="L39" s="89"/>
      <c r="M39" s="47" t="str">
        <f t="shared" ca="1" si="12"/>
        <v>03E2</v>
      </c>
      <c r="N39" s="89"/>
      <c r="O39" s="47" t="str">
        <f t="shared" ca="1" si="13"/>
        <v>2309</v>
      </c>
    </row>
    <row r="40" spans="2:15">
      <c r="B40" s="48">
        <f t="shared" ca="1" si="6"/>
        <v>49793</v>
      </c>
      <c r="C40" s="49">
        <f ca="1">BitXOR(B40, $V$16)</f>
        <v>50821</v>
      </c>
      <c r="D40" s="64">
        <f t="shared" ca="1" si="8"/>
        <v>60520</v>
      </c>
      <c r="E40" s="64">
        <f t="shared" ca="1" si="9"/>
        <v>38758</v>
      </c>
      <c r="F40" s="89"/>
      <c r="G40" s="89"/>
      <c r="H40" s="47" t="str">
        <f t="shared" ca="1" si="10"/>
        <v>C281</v>
      </c>
      <c r="I40" s="89"/>
      <c r="J40" s="47" t="str">
        <f t="shared" ca="1" si="11"/>
        <v>C685</v>
      </c>
      <c r="K40" s="89"/>
      <c r="L40" s="89"/>
      <c r="M40" s="47" t="str">
        <f t="shared" ca="1" si="12"/>
        <v>EC68</v>
      </c>
      <c r="N40" s="89"/>
      <c r="O40" s="47" t="str">
        <f t="shared" ca="1" si="13"/>
        <v>9766</v>
      </c>
    </row>
    <row r="41" spans="2:15">
      <c r="B41" s="48">
        <f t="shared" ca="1" si="6"/>
        <v>52918</v>
      </c>
      <c r="C41" s="49">
        <f ca="1">BitXOR(B41, $V$16)</f>
        <v>51890</v>
      </c>
      <c r="D41" s="64">
        <f t="shared" ca="1" si="8"/>
        <v>28750</v>
      </c>
      <c r="E41" s="64">
        <f t="shared" ca="1" si="9"/>
        <v>12868</v>
      </c>
      <c r="F41" s="89"/>
      <c r="G41" s="89"/>
      <c r="H41" s="47" t="str">
        <f t="shared" ca="1" si="10"/>
        <v>CEB6</v>
      </c>
      <c r="I41" s="89"/>
      <c r="J41" s="47" t="str">
        <f t="shared" ca="1" si="11"/>
        <v>CAB2</v>
      </c>
      <c r="K41" s="89"/>
      <c r="L41" s="89"/>
      <c r="M41" s="47" t="str">
        <f t="shared" ca="1" si="12"/>
        <v>704E</v>
      </c>
      <c r="N41" s="89"/>
      <c r="O41" s="47" t="str">
        <f t="shared" ca="1" si="13"/>
        <v>3244</v>
      </c>
    </row>
    <row r="42" spans="2:15">
      <c r="B42" s="48">
        <f t="shared" ca="1" si="6"/>
        <v>54472</v>
      </c>
      <c r="C42" s="49">
        <f ca="1">BitXOR(B42, $V$16)</f>
        <v>53452</v>
      </c>
      <c r="D42" s="64">
        <f t="shared" ca="1" si="8"/>
        <v>52987</v>
      </c>
      <c r="E42" s="64">
        <f t="shared" ca="1" si="9"/>
        <v>49401</v>
      </c>
      <c r="F42" s="89"/>
      <c r="G42" s="89"/>
      <c r="H42" s="47" t="str">
        <f t="shared" ca="1" si="10"/>
        <v>D4C8</v>
      </c>
      <c r="I42" s="89"/>
      <c r="J42" s="47" t="str">
        <f t="shared" ca="1" si="11"/>
        <v>D0CC</v>
      </c>
      <c r="K42" s="89"/>
      <c r="L42" s="89"/>
      <c r="M42" s="47" t="str">
        <f t="shared" ca="1" si="12"/>
        <v>CEFB</v>
      </c>
      <c r="N42" s="89"/>
      <c r="O42" s="47" t="str">
        <f t="shared" ca="1" si="13"/>
        <v>C0F9</v>
      </c>
    </row>
    <row r="43" spans="2:15">
      <c r="B43" s="48">
        <f t="shared" ca="1" si="6"/>
        <v>4634</v>
      </c>
      <c r="C43" s="49">
        <f ca="1">BitXOR(B43, $V$16)</f>
        <v>5662</v>
      </c>
      <c r="D43" s="64">
        <f t="shared" ca="1" si="8"/>
        <v>24040</v>
      </c>
      <c r="E43" s="64">
        <f t="shared" ca="1" si="9"/>
        <v>20756</v>
      </c>
      <c r="F43" s="89"/>
      <c r="G43" s="89"/>
      <c r="H43" s="47" t="str">
        <f t="shared" ca="1" si="10"/>
        <v>121A</v>
      </c>
      <c r="I43" s="89"/>
      <c r="J43" s="47" t="str">
        <f t="shared" ca="1" si="11"/>
        <v>161E</v>
      </c>
      <c r="K43" s="89"/>
      <c r="L43" s="89"/>
      <c r="M43" s="47" t="str">
        <f t="shared" ca="1" si="12"/>
        <v>5DE8</v>
      </c>
      <c r="N43" s="89"/>
      <c r="O43" s="47" t="str">
        <f t="shared" ca="1" si="13"/>
        <v>5114</v>
      </c>
    </row>
    <row r="44" spans="2:15">
      <c r="B44" s="48">
        <f t="shared" ca="1" si="6"/>
        <v>7905</v>
      </c>
      <c r="C44" s="49">
        <f ca="1">BitXOR(B44, $V$16)</f>
        <v>6885</v>
      </c>
      <c r="D44" s="64">
        <f t="shared" ca="1" si="8"/>
        <v>53424</v>
      </c>
      <c r="E44" s="64">
        <f t="shared" ca="1" si="9"/>
        <v>1853</v>
      </c>
      <c r="F44" s="89"/>
      <c r="G44" s="89"/>
      <c r="H44" s="47" t="str">
        <f t="shared" ca="1" si="10"/>
        <v>1EE1</v>
      </c>
      <c r="I44" s="89"/>
      <c r="J44" s="47" t="str">
        <f t="shared" ca="1" si="11"/>
        <v>1AE5</v>
      </c>
      <c r="K44" s="89"/>
      <c r="L44" s="89"/>
      <c r="M44" s="47" t="str">
        <f t="shared" ca="1" si="12"/>
        <v>D0B0</v>
      </c>
      <c r="N44" s="89"/>
      <c r="O44" s="47" t="str">
        <f t="shared" ca="1" si="13"/>
        <v>073D</v>
      </c>
    </row>
    <row r="45" spans="2:15">
      <c r="B45" s="48">
        <f t="shared" ca="1" si="6"/>
        <v>52604</v>
      </c>
      <c r="C45" s="49">
        <f ca="1">BitXOR(B45, $V$16)</f>
        <v>51576</v>
      </c>
      <c r="D45" s="64">
        <f t="shared" ca="1" si="8"/>
        <v>22367</v>
      </c>
      <c r="E45" s="64">
        <f t="shared" ca="1" si="9"/>
        <v>22717</v>
      </c>
      <c r="F45" s="89"/>
      <c r="G45" s="89"/>
      <c r="H45" s="47" t="str">
        <f t="shared" ca="1" si="10"/>
        <v>CD7C</v>
      </c>
      <c r="I45" s="89"/>
      <c r="J45" s="47" t="str">
        <f t="shared" ca="1" si="11"/>
        <v>C978</v>
      </c>
      <c r="K45" s="89"/>
      <c r="L45" s="89"/>
      <c r="M45" s="47" t="str">
        <f t="shared" ca="1" si="12"/>
        <v>575F</v>
      </c>
      <c r="N45" s="89"/>
      <c r="O45" s="47" t="str">
        <f t="shared" ca="1" si="13"/>
        <v>58BD</v>
      </c>
    </row>
    <row r="46" spans="2:15">
      <c r="B46" s="48">
        <f t="shared" ca="1" si="6"/>
        <v>57658</v>
      </c>
      <c r="C46" s="49">
        <f ca="1">BitXOR(B46, $V$16)</f>
        <v>58686</v>
      </c>
      <c r="D46" s="64">
        <f t="shared" ca="1" si="8"/>
        <v>34722</v>
      </c>
      <c r="E46" s="64">
        <f t="shared" ca="1" si="9"/>
        <v>23011</v>
      </c>
      <c r="F46" s="89"/>
      <c r="G46" s="89"/>
      <c r="H46" s="47" t="str">
        <f t="shared" ca="1" si="10"/>
        <v>E13A</v>
      </c>
      <c r="I46" s="89"/>
      <c r="J46" s="47" t="str">
        <f t="shared" ca="1" si="11"/>
        <v>E53E</v>
      </c>
      <c r="K46" s="89"/>
      <c r="L46" s="89"/>
      <c r="M46" s="47" t="str">
        <f t="shared" ca="1" si="12"/>
        <v>87A2</v>
      </c>
      <c r="N46" s="89"/>
      <c r="O46" s="47" t="str">
        <f t="shared" ca="1" si="13"/>
        <v>59E3</v>
      </c>
    </row>
    <row r="47" spans="2:15">
      <c r="B47" s="48">
        <f t="shared" ca="1" si="6"/>
        <v>19533</v>
      </c>
      <c r="C47" s="49">
        <f ca="1">BitXOR(B47, $V$16)</f>
        <v>18505</v>
      </c>
      <c r="D47" s="64">
        <f t="shared" ca="1" si="8"/>
        <v>63449</v>
      </c>
      <c r="E47" s="64">
        <f t="shared" ca="1" si="9"/>
        <v>50539</v>
      </c>
      <c r="F47" s="89"/>
      <c r="G47" s="89"/>
      <c r="H47" s="47" t="str">
        <f t="shared" ca="1" si="10"/>
        <v>4C4D</v>
      </c>
      <c r="I47" s="89"/>
      <c r="J47" s="47" t="str">
        <f t="shared" ca="1" si="11"/>
        <v>4849</v>
      </c>
      <c r="K47" s="89"/>
      <c r="L47" s="89"/>
      <c r="M47" s="47" t="str">
        <f t="shared" ca="1" si="12"/>
        <v>F7D9</v>
      </c>
      <c r="N47" s="89"/>
      <c r="O47" s="47" t="str">
        <f t="shared" ca="1" si="13"/>
        <v>C56B</v>
      </c>
    </row>
    <row r="48" spans="2:15">
      <c r="B48" s="48">
        <f t="shared" ca="1" si="6"/>
        <v>50961</v>
      </c>
      <c r="C48" s="49">
        <f ca="1">BitXOR(B48, $V$16)</f>
        <v>49941</v>
      </c>
      <c r="D48" s="64">
        <f t="shared" ca="1" si="8"/>
        <v>64531</v>
      </c>
      <c r="E48" s="64">
        <f t="shared" ca="1" si="9"/>
        <v>62939</v>
      </c>
      <c r="F48" s="89"/>
      <c r="G48" s="89"/>
      <c r="H48" s="47" t="str">
        <f t="shared" ca="1" si="10"/>
        <v>C711</v>
      </c>
      <c r="I48" s="89"/>
      <c r="J48" s="47" t="str">
        <f t="shared" ca="1" si="11"/>
        <v>C315</v>
      </c>
      <c r="K48" s="89"/>
      <c r="L48" s="89"/>
      <c r="M48" s="47" t="str">
        <f t="shared" ca="1" si="12"/>
        <v>FC13</v>
      </c>
      <c r="N48" s="89"/>
      <c r="O48" s="47" t="str">
        <f t="shared" ca="1" si="13"/>
        <v>F5DB</v>
      </c>
    </row>
    <row r="49" spans="2:15">
      <c r="B49" s="48">
        <f t="shared" ca="1" si="6"/>
        <v>37342</v>
      </c>
      <c r="C49" s="49">
        <f ca="1">BitXOR(B49, $V$16)</f>
        <v>38362</v>
      </c>
      <c r="D49" s="64">
        <f t="shared" ca="1" si="8"/>
        <v>43440</v>
      </c>
      <c r="E49" s="64">
        <f t="shared" ca="1" si="9"/>
        <v>46567</v>
      </c>
      <c r="F49" s="89"/>
      <c r="G49" s="89"/>
      <c r="H49" s="47" t="str">
        <f t="shared" ca="1" si="10"/>
        <v>91DE</v>
      </c>
      <c r="I49" s="89"/>
      <c r="J49" s="47" t="str">
        <f t="shared" ca="1" si="11"/>
        <v>95DA</v>
      </c>
      <c r="K49" s="89"/>
      <c r="L49" s="89"/>
      <c r="M49" s="47" t="str">
        <f t="shared" ca="1" si="12"/>
        <v>A9B0</v>
      </c>
      <c r="N49" s="89"/>
      <c r="O49" s="47" t="str">
        <f t="shared" ca="1" si="13"/>
        <v>B5E7</v>
      </c>
    </row>
    <row r="50" spans="2:15">
      <c r="B50" s="48">
        <f t="shared" ca="1" si="6"/>
        <v>63486</v>
      </c>
      <c r="C50" s="49">
        <f ca="1">BitXOR(B50, $V$16)</f>
        <v>62458</v>
      </c>
      <c r="D50" s="64">
        <f t="shared" ca="1" si="8"/>
        <v>55603</v>
      </c>
      <c r="E50" s="64">
        <f t="shared" ca="1" si="9"/>
        <v>56284</v>
      </c>
      <c r="F50" s="89"/>
      <c r="G50" s="89"/>
      <c r="H50" s="47" t="str">
        <f t="shared" ca="1" si="10"/>
        <v>F7FE</v>
      </c>
      <c r="I50" s="89"/>
      <c r="J50" s="47" t="str">
        <f t="shared" ca="1" si="11"/>
        <v>F3FA</v>
      </c>
      <c r="K50" s="89"/>
      <c r="L50" s="89"/>
      <c r="M50" s="47" t="str">
        <f t="shared" ca="1" si="12"/>
        <v>D933</v>
      </c>
      <c r="N50" s="89"/>
      <c r="O50" s="47" t="str">
        <f t="shared" ca="1" si="13"/>
        <v>DBDC</v>
      </c>
    </row>
    <row r="51" spans="2:15">
      <c r="B51" s="48">
        <f t="shared" ca="1" si="6"/>
        <v>12250</v>
      </c>
      <c r="C51" s="49">
        <f ca="1">BitXOR(B51, $V$16)</f>
        <v>11230</v>
      </c>
      <c r="D51" s="64">
        <f t="shared" ca="1" si="8"/>
        <v>8701</v>
      </c>
      <c r="E51" s="64">
        <f t="shared" ca="1" si="9"/>
        <v>26898</v>
      </c>
      <c r="F51" s="89"/>
      <c r="G51" s="89"/>
      <c r="H51" s="47" t="str">
        <f t="shared" ca="1" si="10"/>
        <v>2FDA</v>
      </c>
      <c r="I51" s="89"/>
      <c r="J51" s="47" t="str">
        <f t="shared" ca="1" si="11"/>
        <v>2BDE</v>
      </c>
      <c r="K51" s="89"/>
      <c r="L51" s="89"/>
      <c r="M51" s="47" t="str">
        <f t="shared" ca="1" si="12"/>
        <v>21FD</v>
      </c>
      <c r="N51" s="89"/>
      <c r="O51" s="47" t="str">
        <f t="shared" ca="1" si="13"/>
        <v>6912</v>
      </c>
    </row>
    <row r="52" spans="2:15">
      <c r="B52" s="48">
        <f t="shared" ca="1" si="6"/>
        <v>11125</v>
      </c>
      <c r="C52" s="49">
        <f ca="1">BitXOR(B52, $V$16)</f>
        <v>12145</v>
      </c>
      <c r="D52" s="64">
        <f t="shared" ca="1" si="8"/>
        <v>37868</v>
      </c>
      <c r="E52" s="64">
        <f t="shared" ca="1" si="9"/>
        <v>54801</v>
      </c>
      <c r="F52" s="89"/>
      <c r="G52" s="89"/>
      <c r="H52" s="47" t="str">
        <f t="shared" ca="1" si="10"/>
        <v>2B75</v>
      </c>
      <c r="I52" s="89"/>
      <c r="J52" s="47" t="str">
        <f t="shared" ca="1" si="11"/>
        <v>2F71</v>
      </c>
      <c r="K52" s="89"/>
      <c r="L52" s="89"/>
      <c r="M52" s="47" t="str">
        <f t="shared" ca="1" si="12"/>
        <v>93EC</v>
      </c>
      <c r="N52" s="89"/>
      <c r="O52" s="47" t="str">
        <f t="shared" ca="1" si="13"/>
        <v>D611</v>
      </c>
    </row>
    <row r="53" spans="2:15">
      <c r="B53" s="48">
        <f t="shared" ca="1" si="6"/>
        <v>61072</v>
      </c>
      <c r="C53" s="49">
        <f ca="1">BitXOR(B53, $V$16)</f>
        <v>60052</v>
      </c>
      <c r="D53" s="64">
        <f t="shared" ca="1" si="8"/>
        <v>40884</v>
      </c>
      <c r="E53" s="64">
        <f t="shared" ca="1" si="9"/>
        <v>18468</v>
      </c>
      <c r="F53" s="89"/>
      <c r="G53" s="89"/>
      <c r="H53" s="47" t="str">
        <f t="shared" ca="1" si="10"/>
        <v>EE90</v>
      </c>
      <c r="I53" s="89"/>
      <c r="J53" s="47" t="str">
        <f t="shared" ca="1" si="11"/>
        <v>EA94</v>
      </c>
      <c r="K53" s="89"/>
      <c r="L53" s="89"/>
      <c r="M53" s="47" t="str">
        <f t="shared" ca="1" si="12"/>
        <v>9FB4</v>
      </c>
      <c r="N53" s="89"/>
      <c r="O53" s="47" t="str">
        <f t="shared" ca="1" si="13"/>
        <v>4824</v>
      </c>
    </row>
    <row r="54" spans="2:15">
      <c r="B54" s="48">
        <f t="shared" ca="1" si="6"/>
        <v>58464</v>
      </c>
      <c r="C54" s="49">
        <f ca="1">BitXOR(B54, $V$16)</f>
        <v>57444</v>
      </c>
      <c r="D54" s="64">
        <f t="shared" ca="1" si="8"/>
        <v>1369</v>
      </c>
      <c r="E54" s="64">
        <f t="shared" ca="1" si="9"/>
        <v>13136</v>
      </c>
      <c r="F54" s="89"/>
      <c r="G54" s="89"/>
      <c r="H54" s="47" t="str">
        <f t="shared" ca="1" si="10"/>
        <v>E460</v>
      </c>
      <c r="I54" s="89"/>
      <c r="J54" s="47" t="str">
        <f t="shared" ca="1" si="11"/>
        <v>E064</v>
      </c>
      <c r="K54" s="89"/>
      <c r="L54" s="89"/>
      <c r="M54" s="47" t="str">
        <f t="shared" ca="1" si="12"/>
        <v>0559</v>
      </c>
      <c r="N54" s="89"/>
      <c r="O54" s="47" t="str">
        <f t="shared" ca="1" si="13"/>
        <v>3350</v>
      </c>
    </row>
    <row r="55" spans="2:15">
      <c r="B55" s="48">
        <f t="shared" ca="1" si="6"/>
        <v>11605</v>
      </c>
      <c r="C55" s="49">
        <f ca="1">BitXOR(B55, $V$16)</f>
        <v>10577</v>
      </c>
      <c r="D55" s="64">
        <f t="shared" ca="1" si="8"/>
        <v>30672</v>
      </c>
      <c r="E55" s="64">
        <f t="shared" ca="1" si="9"/>
        <v>29325</v>
      </c>
      <c r="F55" s="89"/>
      <c r="G55" s="89"/>
      <c r="H55" s="47" t="str">
        <f t="shared" ca="1" si="10"/>
        <v>2D55</v>
      </c>
      <c r="I55" s="89"/>
      <c r="J55" s="47" t="str">
        <f t="shared" ca="1" si="11"/>
        <v>2951</v>
      </c>
      <c r="K55" s="89"/>
      <c r="L55" s="89"/>
      <c r="M55" s="47" t="str">
        <f t="shared" ca="1" si="12"/>
        <v>77D0</v>
      </c>
      <c r="N55" s="89"/>
      <c r="O55" s="47" t="str">
        <f t="shared" ca="1" si="13"/>
        <v>728D</v>
      </c>
    </row>
    <row r="56" spans="2:15">
      <c r="B56" s="48">
        <f t="shared" ca="1" si="6"/>
        <v>50669</v>
      </c>
      <c r="C56" s="49">
        <f ca="1">BitXOR(B56, $V$16)</f>
        <v>49641</v>
      </c>
      <c r="D56" s="64">
        <f t="shared" ca="1" si="8"/>
        <v>31869</v>
      </c>
      <c r="E56" s="64">
        <f t="shared" ca="1" si="9"/>
        <v>49009</v>
      </c>
      <c r="F56" s="89"/>
      <c r="G56" s="89"/>
      <c r="H56" s="47" t="str">
        <f t="shared" ca="1" si="10"/>
        <v>C5ED</v>
      </c>
      <c r="I56" s="89"/>
      <c r="J56" s="47" t="str">
        <f t="shared" ca="1" si="11"/>
        <v>C1E9</v>
      </c>
      <c r="K56" s="89"/>
      <c r="L56" s="89"/>
      <c r="M56" s="47" t="str">
        <f t="shared" ca="1" si="12"/>
        <v>7C7D</v>
      </c>
      <c r="N56" s="89"/>
      <c r="O56" s="47" t="str">
        <f t="shared" ca="1" si="13"/>
        <v>BF71</v>
      </c>
    </row>
    <row r="57" spans="2:15">
      <c r="B57" s="48">
        <f t="shared" ca="1" si="6"/>
        <v>20450</v>
      </c>
      <c r="C57" s="49">
        <f ca="1">BitXOR(B57, $V$16)</f>
        <v>19430</v>
      </c>
      <c r="D57" s="64">
        <f t="shared" ca="1" si="8"/>
        <v>16698</v>
      </c>
      <c r="E57" s="64">
        <f t="shared" ca="1" si="9"/>
        <v>23598</v>
      </c>
      <c r="F57" s="89"/>
      <c r="G57" s="89"/>
      <c r="H57" s="47" t="str">
        <f t="shared" ca="1" si="10"/>
        <v>4FE2</v>
      </c>
      <c r="I57" s="89"/>
      <c r="J57" s="47" t="str">
        <f t="shared" ca="1" si="11"/>
        <v>4BE6</v>
      </c>
      <c r="K57" s="89"/>
      <c r="L57" s="89"/>
      <c r="M57" s="47" t="str">
        <f t="shared" ca="1" si="12"/>
        <v>413A</v>
      </c>
      <c r="N57" s="89"/>
      <c r="O57" s="47" t="str">
        <f t="shared" ca="1" si="13"/>
        <v>5C2E</v>
      </c>
    </row>
    <row r="58" spans="2:15">
      <c r="B58" s="48">
        <f t="shared" ca="1" si="6"/>
        <v>4649</v>
      </c>
      <c r="C58" s="49">
        <f ca="1">BitXOR(B58, $V$16)</f>
        <v>5677</v>
      </c>
      <c r="D58" s="64">
        <f t="shared" ca="1" si="8"/>
        <v>32989</v>
      </c>
      <c r="E58" s="64">
        <f t="shared" ca="1" si="9"/>
        <v>44722</v>
      </c>
      <c r="F58" s="89"/>
      <c r="G58" s="89"/>
      <c r="H58" s="47" t="str">
        <f t="shared" ca="1" si="10"/>
        <v>1229</v>
      </c>
      <c r="I58" s="89"/>
      <c r="J58" s="47" t="str">
        <f t="shared" ca="1" si="11"/>
        <v>162D</v>
      </c>
      <c r="K58" s="89"/>
      <c r="L58" s="89"/>
      <c r="M58" s="47" t="str">
        <f t="shared" ca="1" si="12"/>
        <v>80DD</v>
      </c>
      <c r="N58" s="89"/>
      <c r="O58" s="47" t="str">
        <f t="shared" ca="1" si="13"/>
        <v>AEB2</v>
      </c>
    </row>
    <row r="59" spans="2:15">
      <c r="B59" s="48">
        <f t="shared" ca="1" si="6"/>
        <v>15111</v>
      </c>
      <c r="C59" s="49">
        <f ca="1">BitXOR(B59, $V$16)</f>
        <v>16131</v>
      </c>
      <c r="D59" s="64">
        <f t="shared" ca="1" si="8"/>
        <v>38900</v>
      </c>
      <c r="E59" s="64">
        <f t="shared" ca="1" si="9"/>
        <v>20692</v>
      </c>
      <c r="F59" s="89"/>
      <c r="G59" s="89"/>
      <c r="H59" s="47" t="str">
        <f t="shared" ca="1" si="10"/>
        <v>3B07</v>
      </c>
      <c r="I59" s="89"/>
      <c r="J59" s="47" t="str">
        <f t="shared" ca="1" si="11"/>
        <v>3F03</v>
      </c>
      <c r="K59" s="89"/>
      <c r="L59" s="89"/>
      <c r="M59" s="47" t="str">
        <f t="shared" ca="1" si="12"/>
        <v>97F4</v>
      </c>
      <c r="N59" s="89"/>
      <c r="O59" s="47" t="str">
        <f t="shared" ca="1" si="13"/>
        <v>50D4</v>
      </c>
    </row>
    <row r="60" spans="2:15">
      <c r="B60" s="48">
        <f t="shared" ca="1" si="6"/>
        <v>44803</v>
      </c>
      <c r="C60" s="49">
        <f ca="1">BitXOR(B60, $V$16)</f>
        <v>43783</v>
      </c>
      <c r="D60" s="64">
        <f t="shared" ca="1" si="8"/>
        <v>34572</v>
      </c>
      <c r="E60" s="64">
        <f t="shared" ca="1" si="9"/>
        <v>20564</v>
      </c>
      <c r="F60" s="89"/>
      <c r="G60" s="89"/>
      <c r="H60" s="47" t="str">
        <f t="shared" ca="1" si="10"/>
        <v>AF03</v>
      </c>
      <c r="I60" s="89"/>
      <c r="J60" s="47" t="str">
        <f t="shared" ca="1" si="11"/>
        <v>AB07</v>
      </c>
      <c r="K60" s="89"/>
      <c r="L60" s="89"/>
      <c r="M60" s="47" t="str">
        <f t="shared" ca="1" si="12"/>
        <v>870C</v>
      </c>
      <c r="N60" s="89"/>
      <c r="O60" s="47" t="str">
        <f t="shared" ca="1" si="13"/>
        <v>5054</v>
      </c>
    </row>
    <row r="61" spans="2:15">
      <c r="B61" s="48">
        <f t="shared" ca="1" si="6"/>
        <v>48092</v>
      </c>
      <c r="C61" s="49">
        <f ca="1">BitXOR(B61, $V$16)</f>
        <v>49112</v>
      </c>
      <c r="D61" s="64">
        <f t="shared" ca="1" si="8"/>
        <v>60041</v>
      </c>
      <c r="E61" s="64">
        <f t="shared" ca="1" si="9"/>
        <v>33567</v>
      </c>
      <c r="F61" s="89"/>
      <c r="G61" s="89"/>
      <c r="H61" s="47" t="str">
        <f t="shared" ca="1" si="10"/>
        <v>BBDC</v>
      </c>
      <c r="I61" s="89"/>
      <c r="J61" s="47" t="str">
        <f t="shared" ca="1" si="11"/>
        <v>BFD8</v>
      </c>
      <c r="K61" s="89"/>
      <c r="L61" s="89"/>
      <c r="M61" s="47" t="str">
        <f t="shared" ca="1" si="12"/>
        <v>EA89</v>
      </c>
      <c r="N61" s="89"/>
      <c r="O61" s="47" t="str">
        <f t="shared" ca="1" si="13"/>
        <v>831F</v>
      </c>
    </row>
    <row r="62" spans="2:15">
      <c r="B62" s="48">
        <f t="shared" ca="1" si="6"/>
        <v>53639</v>
      </c>
      <c r="C62" s="49">
        <f ca="1">BitXOR(B62, $V$16)</f>
        <v>54659</v>
      </c>
      <c r="D62" s="64">
        <f t="shared" ca="1" si="8"/>
        <v>35291</v>
      </c>
      <c r="E62" s="64">
        <f t="shared" ca="1" si="9"/>
        <v>55099</v>
      </c>
      <c r="F62" s="89"/>
      <c r="G62" s="89"/>
      <c r="H62" s="47" t="str">
        <f t="shared" ca="1" si="10"/>
        <v>D187</v>
      </c>
      <c r="I62" s="89"/>
      <c r="J62" s="47" t="str">
        <f t="shared" ca="1" si="11"/>
        <v>D583</v>
      </c>
      <c r="K62" s="89"/>
      <c r="L62" s="89"/>
      <c r="M62" s="47" t="str">
        <f t="shared" ca="1" si="12"/>
        <v>89DB</v>
      </c>
      <c r="N62" s="89"/>
      <c r="O62" s="47" t="str">
        <f t="shared" ca="1" si="13"/>
        <v>D73B</v>
      </c>
    </row>
    <row r="63" spans="2:15">
      <c r="B63" s="48">
        <f t="shared" ca="1" si="6"/>
        <v>11580</v>
      </c>
      <c r="C63" s="49">
        <f ca="1">BitXOR(B63, $V$16)</f>
        <v>10552</v>
      </c>
      <c r="D63" s="64">
        <f t="shared" ca="1" si="8"/>
        <v>23405</v>
      </c>
      <c r="E63" s="64">
        <f t="shared" ca="1" si="9"/>
        <v>21645</v>
      </c>
      <c r="F63" s="89"/>
      <c r="G63" s="89"/>
      <c r="H63" s="47" t="str">
        <f t="shared" ca="1" si="10"/>
        <v>2D3C</v>
      </c>
      <c r="I63" s="89"/>
      <c r="J63" s="47" t="str">
        <f t="shared" ca="1" si="11"/>
        <v>2938</v>
      </c>
      <c r="K63" s="89"/>
      <c r="L63" s="89"/>
      <c r="M63" s="47" t="str">
        <f t="shared" ca="1" si="12"/>
        <v>5B6D</v>
      </c>
      <c r="N63" s="89"/>
      <c r="O63" s="47" t="str">
        <f t="shared" ca="1" si="13"/>
        <v>548D</v>
      </c>
    </row>
    <row r="64" spans="2:15">
      <c r="B64" s="48">
        <f t="shared" ca="1" si="6"/>
        <v>56446</v>
      </c>
      <c r="C64" s="49">
        <f ca="1">BitXOR(B64, $V$16)</f>
        <v>55418</v>
      </c>
      <c r="D64" s="64">
        <f t="shared" ca="1" si="8"/>
        <v>49038</v>
      </c>
      <c r="E64" s="64">
        <f t="shared" ca="1" si="9"/>
        <v>63977</v>
      </c>
      <c r="F64" s="89"/>
      <c r="G64" s="89"/>
      <c r="H64" s="47" t="str">
        <f t="shared" ca="1" si="10"/>
        <v>DC7E</v>
      </c>
      <c r="I64" s="89"/>
      <c r="J64" s="47" t="str">
        <f t="shared" ca="1" si="11"/>
        <v>D87A</v>
      </c>
      <c r="K64" s="89"/>
      <c r="L64" s="89"/>
      <c r="M64" s="47" t="str">
        <f t="shared" ca="1" si="12"/>
        <v>BF8E</v>
      </c>
      <c r="N64" s="89"/>
      <c r="O64" s="47" t="str">
        <f t="shared" ca="1" si="13"/>
        <v>F9E9</v>
      </c>
    </row>
    <row r="65" spans="2:15">
      <c r="B65" s="48">
        <f t="shared" ca="1" si="6"/>
        <v>2538</v>
      </c>
      <c r="C65" s="49">
        <f ca="1">BitXOR(B65, $V$16)</f>
        <v>3566</v>
      </c>
      <c r="D65" s="64">
        <f t="shared" ca="1" si="8"/>
        <v>19998</v>
      </c>
      <c r="E65" s="64">
        <f t="shared" ca="1" si="9"/>
        <v>20154</v>
      </c>
      <c r="F65" s="89"/>
      <c r="G65" s="89"/>
      <c r="H65" s="47" t="str">
        <f t="shared" ca="1" si="10"/>
        <v>09EA</v>
      </c>
      <c r="I65" s="89"/>
      <c r="J65" s="47" t="str">
        <f t="shared" ca="1" si="11"/>
        <v>0DEE</v>
      </c>
      <c r="K65" s="89"/>
      <c r="L65" s="89"/>
      <c r="M65" s="47" t="str">
        <f t="shared" ca="1" si="12"/>
        <v>4E1E</v>
      </c>
      <c r="N65" s="89"/>
      <c r="O65" s="47" t="str">
        <f t="shared" ca="1" si="13"/>
        <v>4EBA</v>
      </c>
    </row>
    <row r="66" spans="2:15">
      <c r="B66" s="48">
        <f t="shared" ca="1" si="6"/>
        <v>2972</v>
      </c>
      <c r="C66" s="49">
        <f ca="1">BitXOR(B66, $V$16)</f>
        <v>3992</v>
      </c>
      <c r="D66" s="64">
        <f t="shared" ca="1" si="8"/>
        <v>46433</v>
      </c>
      <c r="E66" s="64">
        <f t="shared" ca="1" si="9"/>
        <v>16941</v>
      </c>
      <c r="F66" s="89"/>
      <c r="G66" s="89"/>
      <c r="H66" s="47" t="str">
        <f t="shared" ca="1" si="10"/>
        <v>0B9C</v>
      </c>
      <c r="I66" s="89"/>
      <c r="J66" s="47" t="str">
        <f t="shared" ca="1" si="11"/>
        <v>0F98</v>
      </c>
      <c r="K66" s="89"/>
      <c r="L66" s="89"/>
      <c r="M66" s="47" t="str">
        <f t="shared" ca="1" si="12"/>
        <v>B561</v>
      </c>
      <c r="N66" s="89"/>
      <c r="O66" s="47" t="str">
        <f t="shared" ca="1" si="13"/>
        <v>422D</v>
      </c>
    </row>
    <row r="67" spans="2:15">
      <c r="B67" s="48">
        <f t="shared" ca="1" si="6"/>
        <v>23478</v>
      </c>
      <c r="C67" s="49">
        <f ca="1">BitXOR(B67, $V$16)</f>
        <v>24498</v>
      </c>
      <c r="D67" s="64">
        <f t="shared" ca="1" si="8"/>
        <v>46418</v>
      </c>
      <c r="E67" s="64">
        <f t="shared" ca="1" si="9"/>
        <v>5667</v>
      </c>
      <c r="F67" s="89"/>
      <c r="G67" s="89"/>
      <c r="H67" s="47" t="str">
        <f t="shared" ca="1" si="10"/>
        <v>5BB6</v>
      </c>
      <c r="I67" s="89"/>
      <c r="J67" s="47" t="str">
        <f t="shared" ca="1" si="11"/>
        <v>5FB2</v>
      </c>
      <c r="K67" s="89"/>
      <c r="L67" s="89"/>
      <c r="M67" s="47" t="str">
        <f t="shared" ca="1" si="12"/>
        <v>B552</v>
      </c>
      <c r="N67" s="89"/>
      <c r="O67" s="47" t="str">
        <f t="shared" ca="1" si="13"/>
        <v>1623</v>
      </c>
    </row>
    <row r="68" spans="2:15">
      <c r="B68" s="48">
        <f t="shared" ca="1" si="6"/>
        <v>27222</v>
      </c>
      <c r="C68" s="49">
        <f ca="1">BitXOR(B68, $V$16)</f>
        <v>28242</v>
      </c>
      <c r="D68" s="64">
        <f t="shared" ca="1" si="8"/>
        <v>4495</v>
      </c>
      <c r="E68" s="64">
        <f t="shared" ca="1" si="9"/>
        <v>38222</v>
      </c>
      <c r="F68" s="89"/>
      <c r="G68" s="89"/>
      <c r="H68" s="47" t="str">
        <f t="shared" ca="1" si="10"/>
        <v>6A56</v>
      </c>
      <c r="I68" s="89"/>
      <c r="J68" s="47" t="str">
        <f t="shared" ca="1" si="11"/>
        <v>6E52</v>
      </c>
      <c r="K68" s="89"/>
      <c r="L68" s="89"/>
      <c r="M68" s="47" t="str">
        <f t="shared" ca="1" si="12"/>
        <v>118F</v>
      </c>
      <c r="N68" s="89"/>
      <c r="O68" s="47" t="str">
        <f t="shared" ca="1" si="13"/>
        <v>954E</v>
      </c>
    </row>
    <row r="69" spans="2:15">
      <c r="B69" s="48">
        <f t="shared" ca="1" si="6"/>
        <v>60203</v>
      </c>
      <c r="C69" s="49">
        <f ca="1">BitXOR(B69, $V$16)</f>
        <v>61231</v>
      </c>
      <c r="D69" s="64">
        <f t="shared" ca="1" si="8"/>
        <v>8618</v>
      </c>
      <c r="E69" s="64">
        <f t="shared" ca="1" si="9"/>
        <v>22325</v>
      </c>
      <c r="F69" s="89"/>
      <c r="G69" s="89"/>
      <c r="H69" s="47" t="str">
        <f t="shared" ca="1" si="10"/>
        <v>EB2B</v>
      </c>
      <c r="I69" s="89"/>
      <c r="J69" s="47" t="str">
        <f t="shared" ca="1" si="11"/>
        <v>EF2F</v>
      </c>
      <c r="K69" s="89"/>
      <c r="L69" s="89"/>
      <c r="M69" s="47" t="str">
        <f t="shared" ca="1" si="12"/>
        <v>21AA</v>
      </c>
      <c r="N69" s="89"/>
      <c r="O69" s="47" t="str">
        <f t="shared" ca="1" si="13"/>
        <v>5735</v>
      </c>
    </row>
    <row r="70" spans="2:15">
      <c r="B70" s="48">
        <f t="shared" ca="1" si="6"/>
        <v>62856</v>
      </c>
      <c r="C70" s="49">
        <f ca="1">BitXOR(B70, $V$16)</f>
        <v>61836</v>
      </c>
      <c r="D70" s="64">
        <f t="shared" ca="1" si="8"/>
        <v>9808</v>
      </c>
      <c r="E70" s="64">
        <f t="shared" ca="1" si="9"/>
        <v>59552</v>
      </c>
      <c r="F70" s="89"/>
      <c r="G70" s="89"/>
      <c r="H70" s="47" t="str">
        <f t="shared" ca="1" si="10"/>
        <v>F588</v>
      </c>
      <c r="I70" s="89"/>
      <c r="J70" s="47" t="str">
        <f t="shared" ca="1" si="11"/>
        <v>F18C</v>
      </c>
      <c r="K70" s="89"/>
      <c r="L70" s="89"/>
      <c r="M70" s="47" t="str">
        <f t="shared" ca="1" si="12"/>
        <v>2650</v>
      </c>
      <c r="N70" s="89"/>
      <c r="O70" s="47" t="str">
        <f t="shared" ca="1" si="13"/>
        <v>E8A0</v>
      </c>
    </row>
    <row r="71" spans="2:15">
      <c r="B71" s="48">
        <f t="shared" ca="1" si="6"/>
        <v>31347</v>
      </c>
      <c r="C71" s="49">
        <f ca="1">BitXOR(B71, $V$16)</f>
        <v>32375</v>
      </c>
      <c r="D71" s="64">
        <f t="shared" ca="1" si="8"/>
        <v>44092</v>
      </c>
      <c r="E71" s="64">
        <f t="shared" ca="1" si="9"/>
        <v>14132</v>
      </c>
      <c r="F71" s="89"/>
      <c r="G71" s="89"/>
      <c r="H71" s="47" t="str">
        <f t="shared" ca="1" si="10"/>
        <v>7A73</v>
      </c>
      <c r="I71" s="89"/>
      <c r="J71" s="47" t="str">
        <f t="shared" ca="1" si="11"/>
        <v>7E77</v>
      </c>
      <c r="K71" s="89"/>
      <c r="L71" s="89"/>
      <c r="M71" s="47" t="str">
        <f t="shared" ca="1" si="12"/>
        <v>AC3C</v>
      </c>
      <c r="N71" s="89"/>
      <c r="O71" s="47" t="str">
        <f t="shared" ca="1" si="13"/>
        <v>3734</v>
      </c>
    </row>
    <row r="72" spans="2:15">
      <c r="B72" s="48">
        <f t="shared" ca="1" si="6"/>
        <v>19337</v>
      </c>
      <c r="C72" s="49">
        <f ca="1">BitXOR(B72, $V$16)</f>
        <v>20365</v>
      </c>
      <c r="D72" s="64">
        <f t="shared" ca="1" si="8"/>
        <v>33535</v>
      </c>
      <c r="E72" s="64">
        <f t="shared" ca="1" si="9"/>
        <v>7623</v>
      </c>
      <c r="F72" s="89"/>
      <c r="G72" s="89"/>
      <c r="H72" s="47" t="str">
        <f t="shared" ca="1" si="10"/>
        <v>4B89</v>
      </c>
      <c r="I72" s="89"/>
      <c r="J72" s="47" t="str">
        <f t="shared" ca="1" si="11"/>
        <v>4F8D</v>
      </c>
      <c r="K72" s="89"/>
      <c r="L72" s="89"/>
      <c r="M72" s="47" t="str">
        <f t="shared" ca="1" si="12"/>
        <v>82FF</v>
      </c>
      <c r="N72" s="89"/>
      <c r="O72" s="47" t="str">
        <f t="shared" ca="1" si="13"/>
        <v>1DC7</v>
      </c>
    </row>
    <row r="73" spans="2:15">
      <c r="B73" s="48">
        <f t="shared" ca="1" si="6"/>
        <v>8174</v>
      </c>
      <c r="C73" s="49">
        <f ca="1">BitXOR(B73, $V$16)</f>
        <v>7146</v>
      </c>
      <c r="D73" s="64">
        <f t="shared" ca="1" si="8"/>
        <v>24562</v>
      </c>
      <c r="E73" s="64">
        <f t="shared" ca="1" si="9"/>
        <v>20496</v>
      </c>
      <c r="F73" s="89"/>
      <c r="G73" s="89"/>
      <c r="H73" s="47" t="str">
        <f t="shared" ca="1" si="10"/>
        <v>1FEE</v>
      </c>
      <c r="I73" s="89"/>
      <c r="J73" s="47" t="str">
        <f t="shared" ca="1" si="11"/>
        <v>1BEA</v>
      </c>
      <c r="K73" s="89"/>
      <c r="L73" s="89"/>
      <c r="M73" s="47" t="str">
        <f t="shared" ca="1" si="12"/>
        <v>5FF2</v>
      </c>
      <c r="N73" s="89"/>
      <c r="O73" s="47" t="str">
        <f t="shared" ca="1" si="13"/>
        <v>5010</v>
      </c>
    </row>
    <row r="74" spans="2:15">
      <c r="B74" s="48">
        <f t="shared" ca="1" si="6"/>
        <v>32991</v>
      </c>
      <c r="C74" s="49">
        <f ca="1">BitXOR(B74, $V$16)</f>
        <v>34011</v>
      </c>
      <c r="D74" s="64">
        <f t="shared" ca="1" si="8"/>
        <v>37508</v>
      </c>
      <c r="E74" s="64">
        <f t="shared" ca="1" si="9"/>
        <v>31275</v>
      </c>
      <c r="F74" s="89"/>
      <c r="G74" s="89"/>
      <c r="H74" s="47" t="str">
        <f t="shared" ca="1" si="10"/>
        <v>80DF</v>
      </c>
      <c r="I74" s="89"/>
      <c r="J74" s="47" t="str">
        <f t="shared" ca="1" si="11"/>
        <v>84DB</v>
      </c>
      <c r="K74" s="89"/>
      <c r="L74" s="89"/>
      <c r="M74" s="47" t="str">
        <f t="shared" ca="1" si="12"/>
        <v>9284</v>
      </c>
      <c r="N74" s="89"/>
      <c r="O74" s="47" t="str">
        <f t="shared" ca="1" si="13"/>
        <v>7A2B</v>
      </c>
    </row>
    <row r="75" spans="2:15">
      <c r="B75" s="48">
        <f t="shared" ca="1" si="6"/>
        <v>40237</v>
      </c>
      <c r="C75" s="49">
        <f ca="1">BitXOR(B75, $V$16)</f>
        <v>39209</v>
      </c>
      <c r="D75" s="64">
        <f t="shared" ca="1" si="8"/>
        <v>37190</v>
      </c>
      <c r="E75" s="64">
        <f t="shared" ca="1" si="9"/>
        <v>43844</v>
      </c>
      <c r="F75" s="89"/>
      <c r="G75" s="89"/>
      <c r="H75" s="47" t="str">
        <f t="shared" ca="1" si="10"/>
        <v>9D2D</v>
      </c>
      <c r="I75" s="89"/>
      <c r="J75" s="47" t="str">
        <f t="shared" ca="1" si="11"/>
        <v>9929</v>
      </c>
      <c r="K75" s="89"/>
      <c r="L75" s="89"/>
      <c r="M75" s="47" t="str">
        <f t="shared" ca="1" si="12"/>
        <v>9146</v>
      </c>
      <c r="N75" s="89"/>
      <c r="O75" s="47" t="str">
        <f t="shared" ca="1" si="13"/>
        <v>AB44</v>
      </c>
    </row>
    <row r="76" spans="2:15">
      <c r="B76" s="48">
        <f t="shared" ca="1" si="6"/>
        <v>29176</v>
      </c>
      <c r="C76" s="49">
        <f ca="1">BitXOR(B76, $V$16)</f>
        <v>30204</v>
      </c>
      <c r="D76" s="64">
        <f t="shared" ca="1" si="8"/>
        <v>52323</v>
      </c>
      <c r="E76" s="64">
        <f t="shared" ca="1" si="9"/>
        <v>42386</v>
      </c>
      <c r="F76" s="89"/>
      <c r="G76" s="89"/>
      <c r="H76" s="47" t="str">
        <f t="shared" ca="1" si="10"/>
        <v>71F8</v>
      </c>
      <c r="I76" s="89"/>
      <c r="J76" s="47" t="str">
        <f t="shared" ca="1" si="11"/>
        <v>75FC</v>
      </c>
      <c r="K76" s="89"/>
      <c r="L76" s="89"/>
      <c r="M76" s="47" t="str">
        <f t="shared" ca="1" si="12"/>
        <v>CC63</v>
      </c>
      <c r="N76" s="89"/>
      <c r="O76" s="47" t="str">
        <f t="shared" ca="1" si="13"/>
        <v>A592</v>
      </c>
    </row>
    <row r="77" spans="2:15">
      <c r="B77" s="48">
        <f t="shared" ca="1" si="6"/>
        <v>41035</v>
      </c>
      <c r="C77" s="49">
        <f ca="1">BitXOR(B77, $V$16)</f>
        <v>42063</v>
      </c>
      <c r="D77" s="64">
        <f t="shared" ca="1" si="8"/>
        <v>63130</v>
      </c>
      <c r="E77" s="64">
        <f t="shared" ca="1" si="9"/>
        <v>31260</v>
      </c>
      <c r="F77" s="89"/>
      <c r="G77" s="89"/>
      <c r="H77" s="47" t="str">
        <f t="shared" ca="1" si="10"/>
        <v>A04B</v>
      </c>
      <c r="I77" s="89"/>
      <c r="J77" s="47" t="str">
        <f t="shared" ca="1" si="11"/>
        <v>A44F</v>
      </c>
      <c r="K77" s="89"/>
      <c r="L77" s="89"/>
      <c r="M77" s="47" t="str">
        <f t="shared" ca="1" si="12"/>
        <v>F69A</v>
      </c>
      <c r="N77" s="89"/>
      <c r="O77" s="47" t="str">
        <f t="shared" ca="1" si="13"/>
        <v>7A1C</v>
      </c>
    </row>
    <row r="78" spans="2:15">
      <c r="B78" s="48">
        <f t="shared" ca="1" si="6"/>
        <v>25331</v>
      </c>
      <c r="C78" s="49">
        <f ca="1">BitXOR(B78, $V$16)</f>
        <v>26359</v>
      </c>
      <c r="D78" s="64">
        <f t="shared" ca="1" si="8"/>
        <v>33983</v>
      </c>
      <c r="E78" s="64">
        <f t="shared" ca="1" si="9"/>
        <v>11180</v>
      </c>
      <c r="F78" s="89"/>
      <c r="G78" s="89"/>
      <c r="H78" s="47" t="str">
        <f t="shared" ca="1" si="10"/>
        <v>62F3</v>
      </c>
      <c r="I78" s="89"/>
      <c r="J78" s="47" t="str">
        <f t="shared" ca="1" si="11"/>
        <v>66F7</v>
      </c>
      <c r="K78" s="89"/>
      <c r="L78" s="89"/>
      <c r="M78" s="47" t="str">
        <f t="shared" ca="1" si="12"/>
        <v>84BF</v>
      </c>
      <c r="N78" s="89"/>
      <c r="O78" s="47" t="str">
        <f t="shared" ca="1" si="13"/>
        <v>2BAC</v>
      </c>
    </row>
    <row r="79" spans="2:15">
      <c r="B79" s="48">
        <f t="shared" ca="1" si="6"/>
        <v>27026</v>
      </c>
      <c r="C79" s="49">
        <f ca="1">BitXOR(B79, $V$16)</f>
        <v>28054</v>
      </c>
      <c r="D79" s="64">
        <f t="shared" ca="1" si="8"/>
        <v>3038</v>
      </c>
      <c r="E79" s="64">
        <f t="shared" ca="1" si="9"/>
        <v>65487</v>
      </c>
      <c r="F79" s="89"/>
      <c r="G79" s="89"/>
      <c r="H79" s="47" t="str">
        <f t="shared" ca="1" si="10"/>
        <v>6992</v>
      </c>
      <c r="I79" s="89"/>
      <c r="J79" s="47" t="str">
        <f t="shared" ca="1" si="11"/>
        <v>6D96</v>
      </c>
      <c r="K79" s="89"/>
      <c r="L79" s="89"/>
      <c r="M79" s="47" t="str">
        <f t="shared" ca="1" si="12"/>
        <v>0BDE</v>
      </c>
      <c r="N79" s="89"/>
      <c r="O79" s="47" t="str">
        <f t="shared" ca="1" si="13"/>
        <v>FFCF</v>
      </c>
    </row>
    <row r="80" spans="2:15">
      <c r="B80" s="48">
        <f t="shared" ca="1" si="6"/>
        <v>37308</v>
      </c>
      <c r="C80" s="49">
        <f ca="1">BitXOR(B80, $V$16)</f>
        <v>38328</v>
      </c>
      <c r="D80" s="64">
        <f t="shared" ca="1" si="8"/>
        <v>33849</v>
      </c>
      <c r="E80" s="64">
        <f t="shared" ca="1" si="9"/>
        <v>42245</v>
      </c>
      <c r="F80" s="89"/>
      <c r="G80" s="89"/>
      <c r="H80" s="47" t="str">
        <f t="shared" ca="1" si="10"/>
        <v>91BC</v>
      </c>
      <c r="I80" s="89"/>
      <c r="J80" s="47" t="str">
        <f t="shared" ca="1" si="11"/>
        <v>95B8</v>
      </c>
      <c r="K80" s="89"/>
      <c r="L80" s="89"/>
      <c r="M80" s="47" t="str">
        <f t="shared" ca="1" si="12"/>
        <v>8439</v>
      </c>
      <c r="N80" s="89"/>
      <c r="O80" s="47" t="str">
        <f t="shared" ca="1" si="13"/>
        <v>A505</v>
      </c>
    </row>
    <row r="81" spans="2:15">
      <c r="B81" s="48">
        <f t="shared" ca="1" si="6"/>
        <v>17194</v>
      </c>
      <c r="C81" s="49">
        <f ca="1">BitXOR(B81, $V$16)</f>
        <v>18222</v>
      </c>
      <c r="D81" s="64">
        <f t="shared" ca="1" si="8"/>
        <v>51743</v>
      </c>
      <c r="E81" s="64">
        <f t="shared" ca="1" si="9"/>
        <v>63823</v>
      </c>
      <c r="F81" s="89"/>
      <c r="G81" s="89"/>
      <c r="H81" s="47" t="str">
        <f t="shared" ca="1" si="10"/>
        <v>432A</v>
      </c>
      <c r="I81" s="89"/>
      <c r="J81" s="47" t="str">
        <f t="shared" ca="1" si="11"/>
        <v>472E</v>
      </c>
      <c r="K81" s="89"/>
      <c r="L81" s="89"/>
      <c r="M81" s="47" t="str">
        <f t="shared" ca="1" si="12"/>
        <v>CA1F</v>
      </c>
      <c r="N81" s="89"/>
      <c r="O81" s="47" t="str">
        <f t="shared" ca="1" si="13"/>
        <v>F94F</v>
      </c>
    </row>
    <row r="82" spans="2:15">
      <c r="B82" s="48">
        <f t="shared" ca="1" si="6"/>
        <v>48855</v>
      </c>
      <c r="C82" s="49">
        <f ca="1">BitXOR(B82, $V$16)</f>
        <v>47827</v>
      </c>
      <c r="D82" s="64">
        <f t="shared" ca="1" si="8"/>
        <v>4442</v>
      </c>
      <c r="E82" s="64">
        <f t="shared" ca="1" si="9"/>
        <v>2949</v>
      </c>
      <c r="F82" s="89"/>
      <c r="G82" s="89"/>
      <c r="H82" s="47" t="str">
        <f t="shared" ca="1" si="10"/>
        <v>BED7</v>
      </c>
      <c r="I82" s="89"/>
      <c r="J82" s="47" t="str">
        <f t="shared" ca="1" si="11"/>
        <v>BAD3</v>
      </c>
      <c r="K82" s="89"/>
      <c r="L82" s="89"/>
      <c r="M82" s="47" t="str">
        <f t="shared" ca="1" si="12"/>
        <v>115A</v>
      </c>
      <c r="N82" s="89"/>
      <c r="O82" s="47" t="str">
        <f t="shared" ca="1" si="13"/>
        <v>0B85</v>
      </c>
    </row>
    <row r="83" spans="2:15">
      <c r="B83" s="48">
        <f t="shared" ca="1" si="6"/>
        <v>11282</v>
      </c>
      <c r="C83" s="49">
        <f ca="1">BitXOR(B83, $V$16)</f>
        <v>10262</v>
      </c>
      <c r="D83" s="64">
        <f t="shared" ca="1" si="8"/>
        <v>29148</v>
      </c>
      <c r="E83" s="64">
        <f t="shared" ca="1" si="9"/>
        <v>3973</v>
      </c>
      <c r="F83" s="89"/>
      <c r="G83" s="89"/>
      <c r="H83" s="47" t="str">
        <f t="shared" ca="1" si="10"/>
        <v>2C12</v>
      </c>
      <c r="I83" s="89"/>
      <c r="J83" s="47" t="str">
        <f t="shared" ca="1" si="11"/>
        <v>2816</v>
      </c>
      <c r="K83" s="89"/>
      <c r="L83" s="89"/>
      <c r="M83" s="47" t="str">
        <f t="shared" ca="1" si="12"/>
        <v>71DC</v>
      </c>
      <c r="N83" s="89"/>
      <c r="O83" s="47" t="str">
        <f t="shared" ca="1" si="13"/>
        <v>0F85</v>
      </c>
    </row>
    <row r="84" spans="2:15">
      <c r="B84" s="48">
        <f t="shared" ca="1" si="6"/>
        <v>46832</v>
      </c>
      <c r="C84" s="49">
        <f ca="1">BitXOR(B84, $V$16)</f>
        <v>45812</v>
      </c>
      <c r="D84" s="64">
        <f t="shared" ca="1" si="8"/>
        <v>59299</v>
      </c>
      <c r="E84" s="64">
        <f t="shared" ca="1" si="9"/>
        <v>35117</v>
      </c>
      <c r="F84" s="89"/>
      <c r="G84" s="89"/>
      <c r="H84" s="47" t="str">
        <f t="shared" ca="1" si="10"/>
        <v>B6F0</v>
      </c>
      <c r="I84" s="89"/>
      <c r="J84" s="47" t="str">
        <f t="shared" ca="1" si="11"/>
        <v>B2F4</v>
      </c>
      <c r="K84" s="89"/>
      <c r="L84" s="89"/>
      <c r="M84" s="47" t="str">
        <f t="shared" ca="1" si="12"/>
        <v>E7A3</v>
      </c>
      <c r="N84" s="89"/>
      <c r="O84" s="47" t="str">
        <f t="shared" ca="1" si="13"/>
        <v>892D</v>
      </c>
    </row>
    <row r="85" spans="2:15">
      <c r="B85" s="48">
        <f t="shared" ca="1" si="6"/>
        <v>55682</v>
      </c>
      <c r="C85" s="49">
        <f ca="1">BitXOR(B85, $V$16)</f>
        <v>56710</v>
      </c>
      <c r="D85" s="64">
        <f t="shared" ca="1" si="8"/>
        <v>15342</v>
      </c>
      <c r="E85" s="64">
        <f t="shared" ca="1" si="9"/>
        <v>65288</v>
      </c>
      <c r="F85" s="89"/>
      <c r="G85" s="89"/>
      <c r="H85" s="47" t="str">
        <f t="shared" ca="1" si="10"/>
        <v>D982</v>
      </c>
      <c r="I85" s="89"/>
      <c r="J85" s="47" t="str">
        <f t="shared" ca="1" si="11"/>
        <v>DD86</v>
      </c>
      <c r="K85" s="89"/>
      <c r="L85" s="89"/>
      <c r="M85" s="47" t="str">
        <f t="shared" ca="1" si="12"/>
        <v>3BEE</v>
      </c>
      <c r="N85" s="89"/>
      <c r="O85" s="47" t="str">
        <f t="shared" ca="1" si="13"/>
        <v>FF08</v>
      </c>
    </row>
    <row r="86" spans="2:15">
      <c r="B86" s="48">
        <f t="shared" ca="1" si="6"/>
        <v>42416</v>
      </c>
      <c r="C86" s="49">
        <f ca="1">BitXOR(B86, $V$16)</f>
        <v>41396</v>
      </c>
      <c r="D86" s="64">
        <f t="shared" ca="1" si="8"/>
        <v>45528</v>
      </c>
      <c r="E86" s="64">
        <f t="shared" ca="1" si="9"/>
        <v>33222</v>
      </c>
      <c r="F86" s="89"/>
      <c r="G86" s="89"/>
      <c r="H86" s="47" t="str">
        <f t="shared" ca="1" si="10"/>
        <v>A5B0</v>
      </c>
      <c r="I86" s="89"/>
      <c r="J86" s="47" t="str">
        <f t="shared" ca="1" si="11"/>
        <v>A1B4</v>
      </c>
      <c r="K86" s="89"/>
      <c r="L86" s="89"/>
      <c r="M86" s="47" t="str">
        <f t="shared" ca="1" si="12"/>
        <v>B1D8</v>
      </c>
      <c r="N86" s="89"/>
      <c r="O86" s="47" t="str">
        <f t="shared" ca="1" si="13"/>
        <v>81C6</v>
      </c>
    </row>
    <row r="87" spans="2:15">
      <c r="B87" s="48">
        <f t="shared" ref="B87:B150" ca="1" si="14">RANDBETWEEN(1,2^16-1)</f>
        <v>46189</v>
      </c>
      <c r="C87" s="49">
        <f ca="1">BitXOR(B87, $V$16)</f>
        <v>45161</v>
      </c>
      <c r="D87" s="64">
        <f t="shared" ca="1" si="8"/>
        <v>2150</v>
      </c>
      <c r="E87" s="64">
        <f t="shared" ca="1" si="9"/>
        <v>56200</v>
      </c>
      <c r="F87" s="89"/>
      <c r="G87" s="89"/>
      <c r="H87" s="47" t="str">
        <f t="shared" ca="1" si="10"/>
        <v>B46D</v>
      </c>
      <c r="I87" s="89"/>
      <c r="J87" s="47" t="str">
        <f t="shared" ca="1" si="11"/>
        <v>B069</v>
      </c>
      <c r="K87" s="89"/>
      <c r="L87" s="89"/>
      <c r="M87" s="47" t="str">
        <f t="shared" ca="1" si="12"/>
        <v>0866</v>
      </c>
      <c r="N87" s="89"/>
      <c r="O87" s="47" t="str">
        <f t="shared" ca="1" si="13"/>
        <v>DB88</v>
      </c>
    </row>
    <row r="88" spans="2:15">
      <c r="B88" s="48">
        <f t="shared" ca="1" si="14"/>
        <v>45397</v>
      </c>
      <c r="C88" s="49">
        <f ca="1">BitXOR(B88, $V$16)</f>
        <v>46417</v>
      </c>
      <c r="D88" s="64">
        <f t="shared" ca="1" si="8"/>
        <v>58997</v>
      </c>
      <c r="E88" s="64">
        <f t="shared" ca="1" si="9"/>
        <v>62059</v>
      </c>
      <c r="F88" s="89"/>
      <c r="G88" s="89"/>
      <c r="H88" s="47" t="str">
        <f t="shared" ca="1" si="10"/>
        <v>B155</v>
      </c>
      <c r="I88" s="89"/>
      <c r="J88" s="47" t="str">
        <f t="shared" ca="1" si="11"/>
        <v>B551</v>
      </c>
      <c r="K88" s="89"/>
      <c r="L88" s="89"/>
      <c r="M88" s="47" t="str">
        <f t="shared" ca="1" si="12"/>
        <v>E675</v>
      </c>
      <c r="N88" s="89"/>
      <c r="O88" s="47" t="str">
        <f t="shared" ca="1" si="13"/>
        <v>F26B</v>
      </c>
    </row>
    <row r="89" spans="2:15">
      <c r="B89" s="48">
        <f t="shared" ca="1" si="14"/>
        <v>44760</v>
      </c>
      <c r="C89" s="49">
        <f ca="1">BitXOR(B89, $V$16)</f>
        <v>43740</v>
      </c>
      <c r="D89" s="64">
        <f t="shared" ca="1" si="8"/>
        <v>27561</v>
      </c>
      <c r="E89" s="64">
        <f t="shared" ca="1" si="9"/>
        <v>2936</v>
      </c>
      <c r="F89" s="89"/>
      <c r="G89" s="89"/>
      <c r="H89" s="47" t="str">
        <f t="shared" ca="1" si="10"/>
        <v>AED8</v>
      </c>
      <c r="I89" s="89"/>
      <c r="J89" s="47" t="str">
        <f t="shared" ca="1" si="11"/>
        <v>AADC</v>
      </c>
      <c r="K89" s="89"/>
      <c r="L89" s="89"/>
      <c r="M89" s="47" t="str">
        <f t="shared" ca="1" si="12"/>
        <v>6BA9</v>
      </c>
      <c r="N89" s="89"/>
      <c r="O89" s="47" t="str">
        <f t="shared" ca="1" si="13"/>
        <v>0B78</v>
      </c>
    </row>
    <row r="90" spans="2:15">
      <c r="B90" s="48">
        <f t="shared" ca="1" si="14"/>
        <v>31575</v>
      </c>
      <c r="C90" s="49">
        <f ca="1">BitXOR(B90, $V$16)</f>
        <v>32595</v>
      </c>
      <c r="D90" s="64">
        <f t="shared" ca="1" si="8"/>
        <v>8770</v>
      </c>
      <c r="E90" s="64">
        <f t="shared" ca="1" si="9"/>
        <v>11869</v>
      </c>
      <c r="F90" s="89"/>
      <c r="G90" s="89"/>
      <c r="H90" s="47" t="str">
        <f t="shared" ca="1" si="10"/>
        <v>7B57</v>
      </c>
      <c r="I90" s="89"/>
      <c r="J90" s="47" t="str">
        <f t="shared" ca="1" si="11"/>
        <v>7F53</v>
      </c>
      <c r="K90" s="89"/>
      <c r="L90" s="89"/>
      <c r="M90" s="47" t="str">
        <f t="shared" ca="1" si="12"/>
        <v>2242</v>
      </c>
      <c r="N90" s="89"/>
      <c r="O90" s="47" t="str">
        <f t="shared" ca="1" si="13"/>
        <v>2E5D</v>
      </c>
    </row>
    <row r="91" spans="2:15">
      <c r="B91" s="48">
        <f t="shared" ca="1" si="14"/>
        <v>918</v>
      </c>
      <c r="C91" s="49">
        <f ca="1">BitXOR(B91, $V$16)</f>
        <v>1938</v>
      </c>
      <c r="D91" s="64">
        <f t="shared" ca="1" si="8"/>
        <v>34243</v>
      </c>
      <c r="E91" s="64">
        <f t="shared" ca="1" si="9"/>
        <v>51283</v>
      </c>
      <c r="F91" s="89"/>
      <c r="G91" s="89"/>
      <c r="H91" s="47" t="str">
        <f t="shared" ca="1" si="10"/>
        <v>0396</v>
      </c>
      <c r="I91" s="89"/>
      <c r="J91" s="47" t="str">
        <f t="shared" ca="1" si="11"/>
        <v>0792</v>
      </c>
      <c r="K91" s="89"/>
      <c r="L91" s="89"/>
      <c r="M91" s="47" t="str">
        <f t="shared" ca="1" si="12"/>
        <v>85C3</v>
      </c>
      <c r="N91" s="89"/>
      <c r="O91" s="47" t="str">
        <f t="shared" ca="1" si="13"/>
        <v>C853</v>
      </c>
    </row>
    <row r="92" spans="2:15">
      <c r="B92" s="48">
        <f t="shared" ca="1" si="14"/>
        <v>10444</v>
      </c>
      <c r="C92" s="49">
        <f ca="1">BitXOR(B92, $V$16)</f>
        <v>11464</v>
      </c>
      <c r="D92" s="64">
        <f t="shared" ca="1" si="8"/>
        <v>37408</v>
      </c>
      <c r="E92" s="64">
        <f t="shared" ca="1" si="9"/>
        <v>39359</v>
      </c>
      <c r="F92" s="89"/>
      <c r="G92" s="89"/>
      <c r="H92" s="47" t="str">
        <f t="shared" ca="1" si="10"/>
        <v>28CC</v>
      </c>
      <c r="I92" s="89"/>
      <c r="J92" s="47" t="str">
        <f t="shared" ca="1" si="11"/>
        <v>2CC8</v>
      </c>
      <c r="K92" s="89"/>
      <c r="L92" s="89"/>
      <c r="M92" s="47" t="str">
        <f t="shared" ca="1" si="12"/>
        <v>9220</v>
      </c>
      <c r="N92" s="89"/>
      <c r="O92" s="47" t="str">
        <f t="shared" ca="1" si="13"/>
        <v>99BF</v>
      </c>
    </row>
    <row r="93" spans="2:15">
      <c r="B93" s="48">
        <f t="shared" ca="1" si="14"/>
        <v>39273</v>
      </c>
      <c r="C93" s="49">
        <f ca="1">BitXOR(B93, $V$16)</f>
        <v>40301</v>
      </c>
      <c r="D93" s="64">
        <f t="shared" ca="1" si="8"/>
        <v>47940</v>
      </c>
      <c r="E93" s="64">
        <f t="shared" ca="1" si="9"/>
        <v>28998</v>
      </c>
      <c r="F93" s="89"/>
      <c r="G93" s="89"/>
      <c r="H93" s="47" t="str">
        <f t="shared" ca="1" si="10"/>
        <v>9969</v>
      </c>
      <c r="I93" s="89"/>
      <c r="J93" s="47" t="str">
        <f t="shared" ca="1" si="11"/>
        <v>9D6D</v>
      </c>
      <c r="K93" s="89"/>
      <c r="L93" s="89"/>
      <c r="M93" s="47" t="str">
        <f t="shared" ca="1" si="12"/>
        <v>BB44</v>
      </c>
      <c r="N93" s="89"/>
      <c r="O93" s="47" t="str">
        <f t="shared" ca="1" si="13"/>
        <v>7146</v>
      </c>
    </row>
    <row r="94" spans="2:15">
      <c r="B94" s="48">
        <f t="shared" ca="1" si="14"/>
        <v>5737</v>
      </c>
      <c r="C94" s="49">
        <f ca="1">BitXOR(B94, $V$16)</f>
        <v>4717</v>
      </c>
      <c r="D94" s="64">
        <f t="shared" ca="1" si="8"/>
        <v>34368</v>
      </c>
      <c r="E94" s="64">
        <f t="shared" ca="1" si="9"/>
        <v>56902</v>
      </c>
      <c r="F94" s="89"/>
      <c r="G94" s="89"/>
      <c r="H94" s="47" t="str">
        <f t="shared" ca="1" si="10"/>
        <v>1669</v>
      </c>
      <c r="I94" s="89"/>
      <c r="J94" s="47" t="str">
        <f t="shared" ca="1" si="11"/>
        <v>126D</v>
      </c>
      <c r="K94" s="89"/>
      <c r="L94" s="89"/>
      <c r="M94" s="47" t="str">
        <f t="shared" ca="1" si="12"/>
        <v>8640</v>
      </c>
      <c r="N94" s="89"/>
      <c r="O94" s="47" t="str">
        <f t="shared" ca="1" si="13"/>
        <v>DE46</v>
      </c>
    </row>
    <row r="95" spans="2:15">
      <c r="B95" s="48">
        <f t="shared" ca="1" si="14"/>
        <v>23464</v>
      </c>
      <c r="C95" s="49">
        <f ca="1">BitXOR(B95, $V$16)</f>
        <v>24492</v>
      </c>
      <c r="D95" s="64">
        <f t="shared" ca="1" si="8"/>
        <v>35442</v>
      </c>
      <c r="E95" s="64">
        <f t="shared" ca="1" si="9"/>
        <v>11292</v>
      </c>
      <c r="F95" s="89"/>
      <c r="G95" s="89"/>
      <c r="H95" s="47" t="str">
        <f t="shared" ca="1" si="10"/>
        <v>5BA8</v>
      </c>
      <c r="I95" s="89"/>
      <c r="J95" s="47" t="str">
        <f t="shared" ca="1" si="11"/>
        <v>5FAC</v>
      </c>
      <c r="K95" s="89"/>
      <c r="L95" s="89"/>
      <c r="M95" s="47" t="str">
        <f t="shared" ca="1" si="12"/>
        <v>8A72</v>
      </c>
      <c r="N95" s="89"/>
      <c r="O95" s="47" t="str">
        <f t="shared" ca="1" si="13"/>
        <v>2C1C</v>
      </c>
    </row>
    <row r="96" spans="2:15">
      <c r="B96" s="48">
        <f t="shared" ca="1" si="14"/>
        <v>47418</v>
      </c>
      <c r="C96" s="49">
        <f ca="1">BitXOR(B96, $V$16)</f>
        <v>48446</v>
      </c>
      <c r="D96" s="64">
        <f t="shared" ca="1" si="8"/>
        <v>48440</v>
      </c>
      <c r="E96" s="64">
        <f t="shared" ca="1" si="9"/>
        <v>48463</v>
      </c>
      <c r="F96" s="89"/>
      <c r="G96" s="89"/>
      <c r="H96" s="47" t="str">
        <f t="shared" ca="1" si="10"/>
        <v>B93A</v>
      </c>
      <c r="I96" s="89"/>
      <c r="J96" s="47" t="str">
        <f t="shared" ca="1" si="11"/>
        <v>BD3E</v>
      </c>
      <c r="K96" s="89"/>
      <c r="L96" s="89"/>
      <c r="M96" s="47" t="str">
        <f t="shared" ca="1" si="12"/>
        <v>BD38</v>
      </c>
      <c r="N96" s="89"/>
      <c r="O96" s="47" t="str">
        <f t="shared" ca="1" si="13"/>
        <v>BD4F</v>
      </c>
    </row>
    <row r="97" spans="2:15">
      <c r="B97" s="48">
        <f t="shared" ca="1" si="14"/>
        <v>9245</v>
      </c>
      <c r="C97" s="49">
        <f ca="1">BitXOR(B97, $V$16)</f>
        <v>8217</v>
      </c>
      <c r="D97" s="64">
        <f t="shared" ca="1" si="8"/>
        <v>2064</v>
      </c>
      <c r="E97" s="64">
        <f t="shared" ca="1" si="9"/>
        <v>3104</v>
      </c>
      <c r="F97" s="89"/>
      <c r="G97" s="89"/>
      <c r="H97" s="47" t="str">
        <f t="shared" ca="1" si="10"/>
        <v>241D</v>
      </c>
      <c r="I97" s="89"/>
      <c r="J97" s="47" t="str">
        <f t="shared" ca="1" si="11"/>
        <v>2019</v>
      </c>
      <c r="K97" s="89"/>
      <c r="L97" s="89"/>
      <c r="M97" s="47" t="str">
        <f t="shared" ca="1" si="12"/>
        <v>0810</v>
      </c>
      <c r="N97" s="89"/>
      <c r="O97" s="47" t="str">
        <f t="shared" ca="1" si="13"/>
        <v>0C20</v>
      </c>
    </row>
    <row r="98" spans="2:15">
      <c r="B98" s="48">
        <f t="shared" ca="1" si="14"/>
        <v>12282</v>
      </c>
      <c r="C98" s="49">
        <f ca="1">BitXOR(B98, $V$16)</f>
        <v>11262</v>
      </c>
      <c r="D98" s="64">
        <f t="shared" ca="1" si="8"/>
        <v>10738</v>
      </c>
      <c r="E98" s="64">
        <f t="shared" ca="1" si="9"/>
        <v>21266</v>
      </c>
      <c r="F98" s="89"/>
      <c r="G98" s="89"/>
      <c r="H98" s="47" t="str">
        <f t="shared" ca="1" si="10"/>
        <v>2FFA</v>
      </c>
      <c r="I98" s="89"/>
      <c r="J98" s="47" t="str">
        <f t="shared" ca="1" si="11"/>
        <v>2BFE</v>
      </c>
      <c r="K98" s="89"/>
      <c r="L98" s="89"/>
      <c r="M98" s="47" t="str">
        <f t="shared" ca="1" si="12"/>
        <v>29F2</v>
      </c>
      <c r="N98" s="89"/>
      <c r="O98" s="47" t="str">
        <f t="shared" ca="1" si="13"/>
        <v>5312</v>
      </c>
    </row>
    <row r="99" spans="2:15">
      <c r="B99" s="48">
        <f t="shared" ca="1" si="14"/>
        <v>35647</v>
      </c>
      <c r="C99" s="49">
        <f ca="1">BitXOR(B99, $V$16)</f>
        <v>36667</v>
      </c>
      <c r="D99" s="64">
        <f t="shared" ca="1" si="8"/>
        <v>30943</v>
      </c>
      <c r="E99" s="64">
        <f t="shared" ca="1" si="9"/>
        <v>39894</v>
      </c>
      <c r="F99" s="89"/>
      <c r="G99" s="89"/>
      <c r="H99" s="47" t="str">
        <f t="shared" ca="1" si="10"/>
        <v>8B3F</v>
      </c>
      <c r="I99" s="89"/>
      <c r="J99" s="47" t="str">
        <f t="shared" ca="1" si="11"/>
        <v>8F3B</v>
      </c>
      <c r="K99" s="89"/>
      <c r="L99" s="89"/>
      <c r="M99" s="47" t="str">
        <f t="shared" ca="1" si="12"/>
        <v>78DF</v>
      </c>
      <c r="N99" s="89"/>
      <c r="O99" s="47" t="str">
        <f t="shared" ca="1" si="13"/>
        <v>9BD6</v>
      </c>
    </row>
    <row r="100" spans="2:15">
      <c r="B100" s="48">
        <f t="shared" ca="1" si="14"/>
        <v>63391</v>
      </c>
      <c r="C100" s="49">
        <f ca="1">BitXOR(B100, $V$16)</f>
        <v>62363</v>
      </c>
      <c r="D100" s="64">
        <f t="shared" ca="1" si="8"/>
        <v>61644</v>
      </c>
      <c r="E100" s="64">
        <f t="shared" ca="1" si="9"/>
        <v>25340</v>
      </c>
      <c r="F100" s="89"/>
      <c r="G100" s="89"/>
      <c r="H100" s="47" t="str">
        <f t="shared" ca="1" si="10"/>
        <v>F79F</v>
      </c>
      <c r="I100" s="89"/>
      <c r="J100" s="47" t="str">
        <f t="shared" ca="1" si="11"/>
        <v>F39B</v>
      </c>
      <c r="K100" s="89"/>
      <c r="L100" s="89"/>
      <c r="M100" s="47" t="str">
        <f t="shared" ca="1" si="12"/>
        <v>F0CC</v>
      </c>
      <c r="N100" s="89"/>
      <c r="O100" s="47" t="str">
        <f t="shared" ca="1" si="13"/>
        <v>62FC</v>
      </c>
    </row>
    <row r="101" spans="2:15">
      <c r="B101" s="48">
        <f t="shared" ca="1" si="14"/>
        <v>12250</v>
      </c>
      <c r="C101" s="49">
        <f ca="1">BitXOR(B101, $V$16)</f>
        <v>11230</v>
      </c>
      <c r="D101" s="64">
        <f t="shared" ref="D101:D164" ca="1" si="15">Encrypt(B101, $D$2:$S$3, $D$6:$S$7, $V$10,$V$11,$V$12,$W$10,$W$11)</f>
        <v>8701</v>
      </c>
      <c r="E101" s="64">
        <f t="shared" ref="E101:E164" ca="1" si="16">Encrypt(C101, $D$2:$S$3, $D$6:$S$7, $V$10,$V$11,$V$12,$W$10,$W$11)</f>
        <v>26898</v>
      </c>
      <c r="F101" s="89"/>
      <c r="G101" s="89"/>
      <c r="H101" s="47" t="str">
        <f t="shared" ref="H101:H164" ca="1" si="17">DEC2HEX(B101,4)</f>
        <v>2FDA</v>
      </c>
      <c r="I101" s="89"/>
      <c r="J101" s="47" t="str">
        <f t="shared" ref="J101:J164" ca="1" si="18">DEC2HEX(C101,4)</f>
        <v>2BDE</v>
      </c>
      <c r="K101" s="89"/>
      <c r="L101" s="89"/>
      <c r="M101" s="47" t="str">
        <f t="shared" ref="M101:M164" ca="1" si="19">DEC2HEX(D101,4)</f>
        <v>21FD</v>
      </c>
      <c r="N101" s="89"/>
      <c r="O101" s="47" t="str">
        <f t="shared" ref="O101:O164" ca="1" si="20">DEC2HEX(E101,4)</f>
        <v>6912</v>
      </c>
    </row>
    <row r="102" spans="2:15">
      <c r="B102" s="48">
        <f t="shared" ca="1" si="14"/>
        <v>35727</v>
      </c>
      <c r="C102" s="49">
        <f ca="1">BitXOR(B102, $V$16)</f>
        <v>36747</v>
      </c>
      <c r="D102" s="64">
        <f t="shared" ca="1" si="15"/>
        <v>38310</v>
      </c>
      <c r="E102" s="64">
        <f t="shared" ca="1" si="16"/>
        <v>60491</v>
      </c>
      <c r="F102" s="89"/>
      <c r="G102" s="89"/>
      <c r="H102" s="47" t="str">
        <f t="shared" ca="1" si="17"/>
        <v>8B8F</v>
      </c>
      <c r="I102" s="89"/>
      <c r="J102" s="47" t="str">
        <f t="shared" ca="1" si="18"/>
        <v>8F8B</v>
      </c>
      <c r="K102" s="89"/>
      <c r="L102" s="89"/>
      <c r="M102" s="47" t="str">
        <f t="shared" ca="1" si="19"/>
        <v>95A6</v>
      </c>
      <c r="N102" s="89"/>
      <c r="O102" s="47" t="str">
        <f t="shared" ca="1" si="20"/>
        <v>EC4B</v>
      </c>
    </row>
    <row r="103" spans="2:15">
      <c r="B103" s="48">
        <f t="shared" ca="1" si="14"/>
        <v>20317</v>
      </c>
      <c r="C103" s="49">
        <f ca="1">BitXOR(B103, $V$16)</f>
        <v>19289</v>
      </c>
      <c r="D103" s="64">
        <f t="shared" ca="1" si="15"/>
        <v>61377</v>
      </c>
      <c r="E103" s="64">
        <f t="shared" ca="1" si="16"/>
        <v>23743</v>
      </c>
      <c r="F103" s="89"/>
      <c r="G103" s="89"/>
      <c r="H103" s="47" t="str">
        <f t="shared" ca="1" si="17"/>
        <v>4F5D</v>
      </c>
      <c r="I103" s="89"/>
      <c r="J103" s="47" t="str">
        <f t="shared" ca="1" si="18"/>
        <v>4B59</v>
      </c>
      <c r="K103" s="89"/>
      <c r="L103" s="89"/>
      <c r="M103" s="47" t="str">
        <f t="shared" ca="1" si="19"/>
        <v>EFC1</v>
      </c>
      <c r="N103" s="89"/>
      <c r="O103" s="47" t="str">
        <f t="shared" ca="1" si="20"/>
        <v>5CBF</v>
      </c>
    </row>
    <row r="104" spans="2:15">
      <c r="B104" s="48">
        <f t="shared" ca="1" si="14"/>
        <v>145</v>
      </c>
      <c r="C104" s="49">
        <f ca="1">BitXOR(B104, $V$16)</f>
        <v>1173</v>
      </c>
      <c r="D104" s="64">
        <f t="shared" ca="1" si="15"/>
        <v>59499</v>
      </c>
      <c r="E104" s="64">
        <f t="shared" ca="1" si="16"/>
        <v>52339</v>
      </c>
      <c r="F104" s="89"/>
      <c r="G104" s="89"/>
      <c r="H104" s="47" t="str">
        <f t="shared" ca="1" si="17"/>
        <v>0091</v>
      </c>
      <c r="I104" s="89"/>
      <c r="J104" s="47" t="str">
        <f t="shared" ca="1" si="18"/>
        <v>0495</v>
      </c>
      <c r="K104" s="89"/>
      <c r="L104" s="89"/>
      <c r="M104" s="47" t="str">
        <f t="shared" ca="1" si="19"/>
        <v>E86B</v>
      </c>
      <c r="N104" s="89"/>
      <c r="O104" s="47" t="str">
        <f t="shared" ca="1" si="20"/>
        <v>CC73</v>
      </c>
    </row>
    <row r="105" spans="2:15">
      <c r="B105" s="48">
        <f t="shared" ca="1" si="14"/>
        <v>22760</v>
      </c>
      <c r="C105" s="49">
        <f ca="1">BitXOR(B105, $V$16)</f>
        <v>23788</v>
      </c>
      <c r="D105" s="64">
        <f t="shared" ca="1" si="15"/>
        <v>23389</v>
      </c>
      <c r="E105" s="64">
        <f t="shared" ca="1" si="16"/>
        <v>9716</v>
      </c>
      <c r="F105" s="89"/>
      <c r="G105" s="89"/>
      <c r="H105" s="47" t="str">
        <f t="shared" ca="1" si="17"/>
        <v>58E8</v>
      </c>
      <c r="I105" s="89"/>
      <c r="J105" s="47" t="str">
        <f t="shared" ca="1" si="18"/>
        <v>5CEC</v>
      </c>
      <c r="K105" s="89"/>
      <c r="L105" s="89"/>
      <c r="M105" s="47" t="str">
        <f t="shared" ca="1" si="19"/>
        <v>5B5D</v>
      </c>
      <c r="N105" s="89"/>
      <c r="O105" s="47" t="str">
        <f t="shared" ca="1" si="20"/>
        <v>25F4</v>
      </c>
    </row>
    <row r="106" spans="2:15">
      <c r="B106" s="48">
        <f t="shared" ca="1" si="14"/>
        <v>57750</v>
      </c>
      <c r="C106" s="49">
        <f ca="1">BitXOR(B106, $V$16)</f>
        <v>58770</v>
      </c>
      <c r="D106" s="64">
        <f t="shared" ca="1" si="15"/>
        <v>12236</v>
      </c>
      <c r="E106" s="64">
        <f t="shared" ca="1" si="16"/>
        <v>45524</v>
      </c>
      <c r="F106" s="89"/>
      <c r="G106" s="89"/>
      <c r="H106" s="47" t="str">
        <f t="shared" ca="1" si="17"/>
        <v>E196</v>
      </c>
      <c r="I106" s="89"/>
      <c r="J106" s="47" t="str">
        <f t="shared" ca="1" si="18"/>
        <v>E592</v>
      </c>
      <c r="K106" s="89"/>
      <c r="L106" s="89"/>
      <c r="M106" s="47" t="str">
        <f t="shared" ca="1" si="19"/>
        <v>2FCC</v>
      </c>
      <c r="N106" s="89"/>
      <c r="O106" s="47" t="str">
        <f t="shared" ca="1" si="20"/>
        <v>B1D4</v>
      </c>
    </row>
    <row r="107" spans="2:15">
      <c r="B107" s="48">
        <f t="shared" ca="1" si="14"/>
        <v>18477</v>
      </c>
      <c r="C107" s="49">
        <f ca="1">BitXOR(B107, $V$16)</f>
        <v>19497</v>
      </c>
      <c r="D107" s="64">
        <f t="shared" ca="1" si="15"/>
        <v>17513</v>
      </c>
      <c r="E107" s="64">
        <f t="shared" ca="1" si="16"/>
        <v>27161</v>
      </c>
      <c r="F107" s="89"/>
      <c r="G107" s="89"/>
      <c r="H107" s="47" t="str">
        <f t="shared" ca="1" si="17"/>
        <v>482D</v>
      </c>
      <c r="I107" s="89"/>
      <c r="J107" s="47" t="str">
        <f t="shared" ca="1" si="18"/>
        <v>4C29</v>
      </c>
      <c r="K107" s="89"/>
      <c r="L107" s="89"/>
      <c r="M107" s="47" t="str">
        <f t="shared" ca="1" si="19"/>
        <v>4469</v>
      </c>
      <c r="N107" s="89"/>
      <c r="O107" s="47" t="str">
        <f t="shared" ca="1" si="20"/>
        <v>6A19</v>
      </c>
    </row>
    <row r="108" spans="2:15">
      <c r="B108" s="48">
        <f t="shared" ca="1" si="14"/>
        <v>8745</v>
      </c>
      <c r="C108" s="49">
        <f ca="1">BitXOR(B108, $V$16)</f>
        <v>9773</v>
      </c>
      <c r="D108" s="64">
        <f t="shared" ca="1" si="15"/>
        <v>9194</v>
      </c>
      <c r="E108" s="64">
        <f t="shared" ca="1" si="16"/>
        <v>18830</v>
      </c>
      <c r="F108" s="89"/>
      <c r="G108" s="89"/>
      <c r="H108" s="47" t="str">
        <f t="shared" ca="1" si="17"/>
        <v>2229</v>
      </c>
      <c r="I108" s="89"/>
      <c r="J108" s="47" t="str">
        <f t="shared" ca="1" si="18"/>
        <v>262D</v>
      </c>
      <c r="K108" s="89"/>
      <c r="L108" s="89"/>
      <c r="M108" s="47" t="str">
        <f t="shared" ca="1" si="19"/>
        <v>23EA</v>
      </c>
      <c r="N108" s="89"/>
      <c r="O108" s="47" t="str">
        <f t="shared" ca="1" si="20"/>
        <v>498E</v>
      </c>
    </row>
    <row r="109" spans="2:15">
      <c r="B109" s="48">
        <f t="shared" ca="1" si="14"/>
        <v>64520</v>
      </c>
      <c r="C109" s="49">
        <f ca="1">BitXOR(B109, $V$16)</f>
        <v>63500</v>
      </c>
      <c r="D109" s="64">
        <f t="shared" ca="1" si="15"/>
        <v>3283</v>
      </c>
      <c r="E109" s="64">
        <f t="shared" ca="1" si="16"/>
        <v>35952</v>
      </c>
      <c r="F109" s="89"/>
      <c r="G109" s="89"/>
      <c r="H109" s="47" t="str">
        <f t="shared" ca="1" si="17"/>
        <v>FC08</v>
      </c>
      <c r="I109" s="89"/>
      <c r="J109" s="47" t="str">
        <f t="shared" ca="1" si="18"/>
        <v>F80C</v>
      </c>
      <c r="K109" s="89"/>
      <c r="L109" s="89"/>
      <c r="M109" s="47" t="str">
        <f t="shared" ca="1" si="19"/>
        <v>0CD3</v>
      </c>
      <c r="N109" s="89"/>
      <c r="O109" s="47" t="str">
        <f t="shared" ca="1" si="20"/>
        <v>8C70</v>
      </c>
    </row>
    <row r="110" spans="2:15">
      <c r="B110" s="48">
        <f t="shared" ca="1" si="14"/>
        <v>30273</v>
      </c>
      <c r="C110" s="49">
        <f ca="1">BitXOR(B110, $V$16)</f>
        <v>29253</v>
      </c>
      <c r="D110" s="64">
        <f t="shared" ca="1" si="15"/>
        <v>6422</v>
      </c>
      <c r="E110" s="64">
        <f t="shared" ca="1" si="16"/>
        <v>16309</v>
      </c>
      <c r="F110" s="89"/>
      <c r="G110" s="89"/>
      <c r="H110" s="47" t="str">
        <f t="shared" ca="1" si="17"/>
        <v>7641</v>
      </c>
      <c r="I110" s="89"/>
      <c r="J110" s="47" t="str">
        <f t="shared" ca="1" si="18"/>
        <v>7245</v>
      </c>
      <c r="K110" s="89"/>
      <c r="L110" s="89"/>
      <c r="M110" s="47" t="str">
        <f t="shared" ca="1" si="19"/>
        <v>1916</v>
      </c>
      <c r="N110" s="89"/>
      <c r="O110" s="47" t="str">
        <f t="shared" ca="1" si="20"/>
        <v>3FB5</v>
      </c>
    </row>
    <row r="111" spans="2:15">
      <c r="B111" s="48">
        <f t="shared" ca="1" si="14"/>
        <v>60311</v>
      </c>
      <c r="C111" s="49">
        <f ca="1">BitXOR(B111, $V$16)</f>
        <v>61331</v>
      </c>
      <c r="D111" s="64">
        <f t="shared" ca="1" si="15"/>
        <v>28762</v>
      </c>
      <c r="E111" s="64">
        <f t="shared" ca="1" si="16"/>
        <v>20492</v>
      </c>
      <c r="F111" s="89"/>
      <c r="G111" s="89"/>
      <c r="H111" s="47" t="str">
        <f t="shared" ca="1" si="17"/>
        <v>EB97</v>
      </c>
      <c r="I111" s="89"/>
      <c r="J111" s="47" t="str">
        <f t="shared" ca="1" si="18"/>
        <v>EF93</v>
      </c>
      <c r="K111" s="89"/>
      <c r="L111" s="89"/>
      <c r="M111" s="47" t="str">
        <f t="shared" ca="1" si="19"/>
        <v>705A</v>
      </c>
      <c r="N111" s="89"/>
      <c r="O111" s="47" t="str">
        <f t="shared" ca="1" si="20"/>
        <v>500C</v>
      </c>
    </row>
    <row r="112" spans="2:15">
      <c r="B112" s="48">
        <f t="shared" ca="1" si="14"/>
        <v>34539</v>
      </c>
      <c r="C112" s="49">
        <f ca="1">BitXOR(B112, $V$16)</f>
        <v>33519</v>
      </c>
      <c r="D112" s="64">
        <f t="shared" ca="1" si="15"/>
        <v>53953</v>
      </c>
      <c r="E112" s="64">
        <f t="shared" ca="1" si="16"/>
        <v>13551</v>
      </c>
      <c r="F112" s="89"/>
      <c r="G112" s="89"/>
      <c r="H112" s="47" t="str">
        <f t="shared" ca="1" si="17"/>
        <v>86EB</v>
      </c>
      <c r="I112" s="89"/>
      <c r="J112" s="47" t="str">
        <f t="shared" ca="1" si="18"/>
        <v>82EF</v>
      </c>
      <c r="K112" s="89"/>
      <c r="L112" s="89"/>
      <c r="M112" s="47" t="str">
        <f t="shared" ca="1" si="19"/>
        <v>D2C1</v>
      </c>
      <c r="N112" s="89"/>
      <c r="O112" s="47" t="str">
        <f t="shared" ca="1" si="20"/>
        <v>34EF</v>
      </c>
    </row>
    <row r="113" spans="2:15">
      <c r="B113" s="48">
        <f t="shared" ca="1" si="14"/>
        <v>43436</v>
      </c>
      <c r="C113" s="49">
        <f ca="1">BitXOR(B113, $V$16)</f>
        <v>44456</v>
      </c>
      <c r="D113" s="64">
        <f t="shared" ca="1" si="15"/>
        <v>64263</v>
      </c>
      <c r="E113" s="64">
        <f t="shared" ca="1" si="16"/>
        <v>31687</v>
      </c>
      <c r="F113" s="89"/>
      <c r="G113" s="89"/>
      <c r="H113" s="47" t="str">
        <f t="shared" ca="1" si="17"/>
        <v>A9AC</v>
      </c>
      <c r="I113" s="89"/>
      <c r="J113" s="47" t="str">
        <f t="shared" ca="1" si="18"/>
        <v>ADA8</v>
      </c>
      <c r="K113" s="89"/>
      <c r="L113" s="89"/>
      <c r="M113" s="47" t="str">
        <f t="shared" ca="1" si="19"/>
        <v>FB07</v>
      </c>
      <c r="N113" s="89"/>
      <c r="O113" s="47" t="str">
        <f t="shared" ca="1" si="20"/>
        <v>7BC7</v>
      </c>
    </row>
    <row r="114" spans="2:15">
      <c r="B114" s="48">
        <f t="shared" ca="1" si="14"/>
        <v>39025</v>
      </c>
      <c r="C114" s="49">
        <f ca="1">BitXOR(B114, $V$16)</f>
        <v>40053</v>
      </c>
      <c r="D114" s="64">
        <f t="shared" ca="1" si="15"/>
        <v>57720</v>
      </c>
      <c r="E114" s="64">
        <f t="shared" ca="1" si="16"/>
        <v>43720</v>
      </c>
      <c r="F114" s="89"/>
      <c r="G114" s="89"/>
      <c r="H114" s="47" t="str">
        <f t="shared" ca="1" si="17"/>
        <v>9871</v>
      </c>
      <c r="I114" s="89"/>
      <c r="J114" s="47" t="str">
        <f t="shared" ca="1" si="18"/>
        <v>9C75</v>
      </c>
      <c r="K114" s="89"/>
      <c r="L114" s="89"/>
      <c r="M114" s="47" t="str">
        <f t="shared" ca="1" si="19"/>
        <v>E178</v>
      </c>
      <c r="N114" s="89"/>
      <c r="O114" s="47" t="str">
        <f t="shared" ca="1" si="20"/>
        <v>AAC8</v>
      </c>
    </row>
    <row r="115" spans="2:15">
      <c r="B115" s="48">
        <f t="shared" ca="1" si="14"/>
        <v>31029</v>
      </c>
      <c r="C115" s="49">
        <f ca="1">BitXOR(B115, $V$16)</f>
        <v>32049</v>
      </c>
      <c r="D115" s="64">
        <f t="shared" ca="1" si="15"/>
        <v>31222</v>
      </c>
      <c r="E115" s="64">
        <f t="shared" ca="1" si="16"/>
        <v>15146</v>
      </c>
      <c r="F115" s="89"/>
      <c r="G115" s="89"/>
      <c r="H115" s="47" t="str">
        <f t="shared" ca="1" si="17"/>
        <v>7935</v>
      </c>
      <c r="I115" s="89"/>
      <c r="J115" s="47" t="str">
        <f t="shared" ca="1" si="18"/>
        <v>7D31</v>
      </c>
      <c r="K115" s="89"/>
      <c r="L115" s="89"/>
      <c r="M115" s="47" t="str">
        <f t="shared" ca="1" si="19"/>
        <v>79F6</v>
      </c>
      <c r="N115" s="89"/>
      <c r="O115" s="47" t="str">
        <f t="shared" ca="1" si="20"/>
        <v>3B2A</v>
      </c>
    </row>
    <row r="116" spans="2:15">
      <c r="B116" s="48">
        <f t="shared" ca="1" si="14"/>
        <v>20277</v>
      </c>
      <c r="C116" s="49">
        <f ca="1">BitXOR(B116, $V$16)</f>
        <v>19249</v>
      </c>
      <c r="D116" s="64">
        <f t="shared" ca="1" si="15"/>
        <v>4159</v>
      </c>
      <c r="E116" s="64">
        <f t="shared" ca="1" si="16"/>
        <v>41727</v>
      </c>
      <c r="F116" s="89"/>
      <c r="G116" s="89"/>
      <c r="H116" s="47" t="str">
        <f t="shared" ca="1" si="17"/>
        <v>4F35</v>
      </c>
      <c r="I116" s="89"/>
      <c r="J116" s="47" t="str">
        <f t="shared" ca="1" si="18"/>
        <v>4B31</v>
      </c>
      <c r="K116" s="89"/>
      <c r="L116" s="89"/>
      <c r="M116" s="47" t="str">
        <f t="shared" ca="1" si="19"/>
        <v>103F</v>
      </c>
      <c r="N116" s="89"/>
      <c r="O116" s="47" t="str">
        <f t="shared" ca="1" si="20"/>
        <v>A2FF</v>
      </c>
    </row>
    <row r="117" spans="2:15">
      <c r="B117" s="48">
        <f t="shared" ca="1" si="14"/>
        <v>1160</v>
      </c>
      <c r="C117" s="49">
        <f ca="1">BitXOR(B117, $V$16)</f>
        <v>140</v>
      </c>
      <c r="D117" s="64">
        <f t="shared" ca="1" si="15"/>
        <v>52304</v>
      </c>
      <c r="E117" s="64">
        <f t="shared" ca="1" si="16"/>
        <v>52617</v>
      </c>
      <c r="F117" s="89"/>
      <c r="G117" s="89"/>
      <c r="H117" s="47" t="str">
        <f t="shared" ca="1" si="17"/>
        <v>0488</v>
      </c>
      <c r="I117" s="89"/>
      <c r="J117" s="47" t="str">
        <f t="shared" ca="1" si="18"/>
        <v>008C</v>
      </c>
      <c r="K117" s="89"/>
      <c r="L117" s="89"/>
      <c r="M117" s="47" t="str">
        <f t="shared" ca="1" si="19"/>
        <v>CC50</v>
      </c>
      <c r="N117" s="89"/>
      <c r="O117" s="47" t="str">
        <f t="shared" ca="1" si="20"/>
        <v>CD89</v>
      </c>
    </row>
    <row r="118" spans="2:15">
      <c r="B118" s="48">
        <f t="shared" ca="1" si="14"/>
        <v>29868</v>
      </c>
      <c r="C118" s="49">
        <f ca="1">BitXOR(B118, $V$16)</f>
        <v>28840</v>
      </c>
      <c r="D118" s="64">
        <f t="shared" ca="1" si="15"/>
        <v>50941</v>
      </c>
      <c r="E118" s="64">
        <f t="shared" ca="1" si="16"/>
        <v>49906</v>
      </c>
      <c r="F118" s="89"/>
      <c r="G118" s="89"/>
      <c r="H118" s="47" t="str">
        <f t="shared" ca="1" si="17"/>
        <v>74AC</v>
      </c>
      <c r="I118" s="89"/>
      <c r="J118" s="47" t="str">
        <f t="shared" ca="1" si="18"/>
        <v>70A8</v>
      </c>
      <c r="K118" s="89"/>
      <c r="L118" s="89"/>
      <c r="M118" s="47" t="str">
        <f t="shared" ca="1" si="19"/>
        <v>C6FD</v>
      </c>
      <c r="N118" s="89"/>
      <c r="O118" s="47" t="str">
        <f t="shared" ca="1" si="20"/>
        <v>C2F2</v>
      </c>
    </row>
    <row r="119" spans="2:15">
      <c r="B119" s="48">
        <f t="shared" ca="1" si="14"/>
        <v>14921</v>
      </c>
      <c r="C119" s="49">
        <f ca="1">BitXOR(B119, $V$16)</f>
        <v>15949</v>
      </c>
      <c r="D119" s="64">
        <f t="shared" ca="1" si="15"/>
        <v>18112</v>
      </c>
      <c r="E119" s="64">
        <f t="shared" ca="1" si="16"/>
        <v>4496</v>
      </c>
      <c r="F119" s="89"/>
      <c r="G119" s="89"/>
      <c r="H119" s="47" t="str">
        <f t="shared" ca="1" si="17"/>
        <v>3A49</v>
      </c>
      <c r="I119" s="89"/>
      <c r="J119" s="47" t="str">
        <f t="shared" ca="1" si="18"/>
        <v>3E4D</v>
      </c>
      <c r="K119" s="89"/>
      <c r="L119" s="89"/>
      <c r="M119" s="47" t="str">
        <f t="shared" ca="1" si="19"/>
        <v>46C0</v>
      </c>
      <c r="N119" s="89"/>
      <c r="O119" s="47" t="str">
        <f t="shared" ca="1" si="20"/>
        <v>1190</v>
      </c>
    </row>
    <row r="120" spans="2:15">
      <c r="B120" s="48">
        <f t="shared" ca="1" si="14"/>
        <v>37736</v>
      </c>
      <c r="C120" s="49">
        <f ca="1">BitXOR(B120, $V$16)</f>
        <v>38764</v>
      </c>
      <c r="D120" s="64">
        <f t="shared" ca="1" si="15"/>
        <v>4438</v>
      </c>
      <c r="E120" s="64">
        <f t="shared" ca="1" si="16"/>
        <v>10102</v>
      </c>
      <c r="F120" s="89"/>
      <c r="G120" s="89"/>
      <c r="H120" s="47" t="str">
        <f t="shared" ca="1" si="17"/>
        <v>9368</v>
      </c>
      <c r="I120" s="89"/>
      <c r="J120" s="47" t="str">
        <f t="shared" ca="1" si="18"/>
        <v>976C</v>
      </c>
      <c r="K120" s="89"/>
      <c r="L120" s="89"/>
      <c r="M120" s="47" t="str">
        <f t="shared" ca="1" si="19"/>
        <v>1156</v>
      </c>
      <c r="N120" s="89"/>
      <c r="O120" s="47" t="str">
        <f t="shared" ca="1" si="20"/>
        <v>2776</v>
      </c>
    </row>
    <row r="121" spans="2:15">
      <c r="B121" s="48">
        <f t="shared" ca="1" si="14"/>
        <v>48851</v>
      </c>
      <c r="C121" s="49">
        <f ca="1">BitXOR(B121, $V$16)</f>
        <v>47831</v>
      </c>
      <c r="D121" s="64">
        <f t="shared" ca="1" si="15"/>
        <v>10730</v>
      </c>
      <c r="E121" s="64">
        <f t="shared" ca="1" si="16"/>
        <v>2786</v>
      </c>
      <c r="F121" s="89"/>
      <c r="G121" s="89"/>
      <c r="H121" s="47" t="str">
        <f t="shared" ca="1" si="17"/>
        <v>BED3</v>
      </c>
      <c r="I121" s="89"/>
      <c r="J121" s="47" t="str">
        <f t="shared" ca="1" si="18"/>
        <v>BAD7</v>
      </c>
      <c r="K121" s="89"/>
      <c r="L121" s="89"/>
      <c r="M121" s="47" t="str">
        <f t="shared" ca="1" si="19"/>
        <v>29EA</v>
      </c>
      <c r="N121" s="89"/>
      <c r="O121" s="47" t="str">
        <f t="shared" ca="1" si="20"/>
        <v>0AE2</v>
      </c>
    </row>
    <row r="122" spans="2:15">
      <c r="B122" s="48">
        <f t="shared" ca="1" si="14"/>
        <v>15462</v>
      </c>
      <c r="C122" s="49">
        <f ca="1">BitXOR(B122, $V$16)</f>
        <v>14434</v>
      </c>
      <c r="D122" s="64">
        <f t="shared" ca="1" si="15"/>
        <v>12019</v>
      </c>
      <c r="E122" s="64">
        <f t="shared" ca="1" si="16"/>
        <v>59396</v>
      </c>
      <c r="F122" s="89"/>
      <c r="G122" s="89"/>
      <c r="H122" s="47" t="str">
        <f t="shared" ca="1" si="17"/>
        <v>3C66</v>
      </c>
      <c r="I122" s="89"/>
      <c r="J122" s="47" t="str">
        <f t="shared" ca="1" si="18"/>
        <v>3862</v>
      </c>
      <c r="K122" s="89"/>
      <c r="L122" s="89"/>
      <c r="M122" s="47" t="str">
        <f t="shared" ca="1" si="19"/>
        <v>2EF3</v>
      </c>
      <c r="N122" s="89"/>
      <c r="O122" s="47" t="str">
        <f t="shared" ca="1" si="20"/>
        <v>E804</v>
      </c>
    </row>
    <row r="123" spans="2:15">
      <c r="B123" s="48">
        <f t="shared" ca="1" si="14"/>
        <v>44344</v>
      </c>
      <c r="C123" s="49">
        <f ca="1">BitXOR(B123, $V$16)</f>
        <v>43324</v>
      </c>
      <c r="D123" s="64">
        <f t="shared" ca="1" si="15"/>
        <v>26527</v>
      </c>
      <c r="E123" s="64">
        <f t="shared" ca="1" si="16"/>
        <v>26488</v>
      </c>
      <c r="F123" s="89"/>
      <c r="G123" s="89"/>
      <c r="H123" s="47" t="str">
        <f t="shared" ca="1" si="17"/>
        <v>AD38</v>
      </c>
      <c r="I123" s="89"/>
      <c r="J123" s="47" t="str">
        <f t="shared" ca="1" si="18"/>
        <v>A93C</v>
      </c>
      <c r="K123" s="89"/>
      <c r="L123" s="89"/>
      <c r="M123" s="47" t="str">
        <f t="shared" ca="1" si="19"/>
        <v>679F</v>
      </c>
      <c r="N123" s="89"/>
      <c r="O123" s="47" t="str">
        <f t="shared" ca="1" si="20"/>
        <v>6778</v>
      </c>
    </row>
    <row r="124" spans="2:15">
      <c r="B124" s="48">
        <f t="shared" ca="1" si="14"/>
        <v>55121</v>
      </c>
      <c r="C124" s="49">
        <f ca="1">BitXOR(B124, $V$16)</f>
        <v>54101</v>
      </c>
      <c r="D124" s="64">
        <f t="shared" ca="1" si="15"/>
        <v>7329</v>
      </c>
      <c r="E124" s="64">
        <f t="shared" ca="1" si="16"/>
        <v>15061</v>
      </c>
      <c r="F124" s="89"/>
      <c r="G124" s="89"/>
      <c r="H124" s="47" t="str">
        <f t="shared" ca="1" si="17"/>
        <v>D751</v>
      </c>
      <c r="I124" s="89"/>
      <c r="J124" s="47" t="str">
        <f t="shared" ca="1" si="18"/>
        <v>D355</v>
      </c>
      <c r="K124" s="89"/>
      <c r="L124" s="89"/>
      <c r="M124" s="47" t="str">
        <f t="shared" ca="1" si="19"/>
        <v>1CA1</v>
      </c>
      <c r="N124" s="89"/>
      <c r="O124" s="47" t="str">
        <f t="shared" ca="1" si="20"/>
        <v>3AD5</v>
      </c>
    </row>
    <row r="125" spans="2:15">
      <c r="B125" s="48">
        <f t="shared" ca="1" si="14"/>
        <v>14331</v>
      </c>
      <c r="C125" s="49">
        <f ca="1">BitXOR(B125, $V$16)</f>
        <v>13311</v>
      </c>
      <c r="D125" s="64">
        <f t="shared" ca="1" si="15"/>
        <v>30685</v>
      </c>
      <c r="E125" s="64">
        <f t="shared" ca="1" si="16"/>
        <v>15052</v>
      </c>
      <c r="F125" s="89"/>
      <c r="G125" s="89"/>
      <c r="H125" s="47" t="str">
        <f t="shared" ca="1" si="17"/>
        <v>37FB</v>
      </c>
      <c r="I125" s="89"/>
      <c r="J125" s="47" t="str">
        <f t="shared" ca="1" si="18"/>
        <v>33FF</v>
      </c>
      <c r="K125" s="89"/>
      <c r="L125" s="89"/>
      <c r="M125" s="47" t="str">
        <f t="shared" ca="1" si="19"/>
        <v>77DD</v>
      </c>
      <c r="N125" s="89"/>
      <c r="O125" s="47" t="str">
        <f t="shared" ca="1" si="20"/>
        <v>3ACC</v>
      </c>
    </row>
    <row r="126" spans="2:15">
      <c r="B126" s="48">
        <f t="shared" ca="1" si="14"/>
        <v>19483</v>
      </c>
      <c r="C126" s="49">
        <f ca="1">BitXOR(B126, $V$16)</f>
        <v>18463</v>
      </c>
      <c r="D126" s="64">
        <f t="shared" ca="1" si="15"/>
        <v>64985</v>
      </c>
      <c r="E126" s="64">
        <f t="shared" ca="1" si="16"/>
        <v>28601</v>
      </c>
      <c r="F126" s="89"/>
      <c r="G126" s="89"/>
      <c r="H126" s="47" t="str">
        <f t="shared" ca="1" si="17"/>
        <v>4C1B</v>
      </c>
      <c r="I126" s="89"/>
      <c r="J126" s="47" t="str">
        <f t="shared" ca="1" si="18"/>
        <v>481F</v>
      </c>
      <c r="K126" s="89"/>
      <c r="L126" s="89"/>
      <c r="M126" s="47" t="str">
        <f t="shared" ca="1" si="19"/>
        <v>FDD9</v>
      </c>
      <c r="N126" s="89"/>
      <c r="O126" s="47" t="str">
        <f t="shared" ca="1" si="20"/>
        <v>6FB9</v>
      </c>
    </row>
    <row r="127" spans="2:15">
      <c r="B127" s="48">
        <f t="shared" ca="1" si="14"/>
        <v>39365</v>
      </c>
      <c r="C127" s="49">
        <f ca="1">BitXOR(B127, $V$16)</f>
        <v>40385</v>
      </c>
      <c r="D127" s="64">
        <f t="shared" ca="1" si="15"/>
        <v>3688</v>
      </c>
      <c r="E127" s="64">
        <f t="shared" ca="1" si="16"/>
        <v>64766</v>
      </c>
      <c r="F127" s="89"/>
      <c r="G127" s="89"/>
      <c r="H127" s="47" t="str">
        <f t="shared" ca="1" si="17"/>
        <v>99C5</v>
      </c>
      <c r="I127" s="89"/>
      <c r="J127" s="47" t="str">
        <f t="shared" ca="1" si="18"/>
        <v>9DC1</v>
      </c>
      <c r="K127" s="89"/>
      <c r="L127" s="89"/>
      <c r="M127" s="47" t="str">
        <f t="shared" ca="1" si="19"/>
        <v>0E68</v>
      </c>
      <c r="N127" s="89"/>
      <c r="O127" s="47" t="str">
        <f t="shared" ca="1" si="20"/>
        <v>FCFE</v>
      </c>
    </row>
    <row r="128" spans="2:15">
      <c r="B128" s="48">
        <f t="shared" ca="1" si="14"/>
        <v>37724</v>
      </c>
      <c r="C128" s="49">
        <f ca="1">BitXOR(B128, $V$16)</f>
        <v>38744</v>
      </c>
      <c r="D128" s="64">
        <f t="shared" ca="1" si="15"/>
        <v>23293</v>
      </c>
      <c r="E128" s="64">
        <f t="shared" ca="1" si="16"/>
        <v>14613</v>
      </c>
      <c r="F128" s="89"/>
      <c r="G128" s="89"/>
      <c r="H128" s="47" t="str">
        <f t="shared" ca="1" si="17"/>
        <v>935C</v>
      </c>
      <c r="I128" s="89"/>
      <c r="J128" s="47" t="str">
        <f t="shared" ca="1" si="18"/>
        <v>9758</v>
      </c>
      <c r="K128" s="89"/>
      <c r="L128" s="89"/>
      <c r="M128" s="47" t="str">
        <f t="shared" ca="1" si="19"/>
        <v>5AFD</v>
      </c>
      <c r="N128" s="89"/>
      <c r="O128" s="47" t="str">
        <f t="shared" ca="1" si="20"/>
        <v>3915</v>
      </c>
    </row>
    <row r="129" spans="2:15">
      <c r="B129" s="48">
        <f t="shared" ca="1" si="14"/>
        <v>5692</v>
      </c>
      <c r="C129" s="49">
        <f ca="1">BitXOR(B129, $V$16)</f>
        <v>4664</v>
      </c>
      <c r="D129" s="64">
        <f t="shared" ca="1" si="15"/>
        <v>34637</v>
      </c>
      <c r="E129" s="64">
        <f t="shared" ca="1" si="16"/>
        <v>39277</v>
      </c>
      <c r="F129" s="89"/>
      <c r="G129" s="89"/>
      <c r="H129" s="47" t="str">
        <f t="shared" ca="1" si="17"/>
        <v>163C</v>
      </c>
      <c r="I129" s="89"/>
      <c r="J129" s="47" t="str">
        <f t="shared" ca="1" si="18"/>
        <v>1238</v>
      </c>
      <c r="K129" s="89"/>
      <c r="L129" s="89"/>
      <c r="M129" s="47" t="str">
        <f t="shared" ca="1" si="19"/>
        <v>874D</v>
      </c>
      <c r="N129" s="89"/>
      <c r="O129" s="47" t="str">
        <f t="shared" ca="1" si="20"/>
        <v>996D</v>
      </c>
    </row>
    <row r="130" spans="2:15">
      <c r="B130" s="48">
        <f t="shared" ca="1" si="14"/>
        <v>37735</v>
      </c>
      <c r="C130" s="49">
        <f ca="1">BitXOR(B130, $V$16)</f>
        <v>38755</v>
      </c>
      <c r="D130" s="64">
        <f t="shared" ca="1" si="15"/>
        <v>46152</v>
      </c>
      <c r="E130" s="64">
        <f t="shared" ca="1" si="16"/>
        <v>46166</v>
      </c>
      <c r="F130" s="89"/>
      <c r="G130" s="89"/>
      <c r="H130" s="47" t="str">
        <f t="shared" ca="1" si="17"/>
        <v>9367</v>
      </c>
      <c r="I130" s="89"/>
      <c r="J130" s="47" t="str">
        <f t="shared" ca="1" si="18"/>
        <v>9763</v>
      </c>
      <c r="K130" s="89"/>
      <c r="L130" s="89"/>
      <c r="M130" s="47" t="str">
        <f t="shared" ca="1" si="19"/>
        <v>B448</v>
      </c>
      <c r="N130" s="89"/>
      <c r="O130" s="47" t="str">
        <f t="shared" ca="1" si="20"/>
        <v>B456</v>
      </c>
    </row>
    <row r="131" spans="2:15">
      <c r="B131" s="48">
        <f t="shared" ca="1" si="14"/>
        <v>60705</v>
      </c>
      <c r="C131" s="49">
        <f ca="1">BitXOR(B131, $V$16)</f>
        <v>59685</v>
      </c>
      <c r="D131" s="64">
        <f t="shared" ca="1" si="15"/>
        <v>13457</v>
      </c>
      <c r="E131" s="64">
        <f t="shared" ca="1" si="16"/>
        <v>1927</v>
      </c>
      <c r="F131" s="89"/>
      <c r="G131" s="89"/>
      <c r="H131" s="47" t="str">
        <f t="shared" ca="1" si="17"/>
        <v>ED21</v>
      </c>
      <c r="I131" s="89"/>
      <c r="J131" s="47" t="str">
        <f t="shared" ca="1" si="18"/>
        <v>E925</v>
      </c>
      <c r="K131" s="89"/>
      <c r="L131" s="89"/>
      <c r="M131" s="47" t="str">
        <f t="shared" ca="1" si="19"/>
        <v>3491</v>
      </c>
      <c r="N131" s="89"/>
      <c r="O131" s="47" t="str">
        <f t="shared" ca="1" si="20"/>
        <v>0787</v>
      </c>
    </row>
    <row r="132" spans="2:15">
      <c r="B132" s="48">
        <f t="shared" ca="1" si="14"/>
        <v>17293</v>
      </c>
      <c r="C132" s="49">
        <f ca="1">BitXOR(B132, $V$16)</f>
        <v>18313</v>
      </c>
      <c r="D132" s="64">
        <f t="shared" ca="1" si="15"/>
        <v>50673</v>
      </c>
      <c r="E132" s="64">
        <f t="shared" ca="1" si="16"/>
        <v>46577</v>
      </c>
      <c r="F132" s="89"/>
      <c r="G132" s="89"/>
      <c r="H132" s="47" t="str">
        <f t="shared" ca="1" si="17"/>
        <v>438D</v>
      </c>
      <c r="I132" s="89"/>
      <c r="J132" s="47" t="str">
        <f t="shared" ca="1" si="18"/>
        <v>4789</v>
      </c>
      <c r="K132" s="89"/>
      <c r="L132" s="89"/>
      <c r="M132" s="47" t="str">
        <f t="shared" ca="1" si="19"/>
        <v>C5F1</v>
      </c>
      <c r="N132" s="89"/>
      <c r="O132" s="47" t="str">
        <f t="shared" ca="1" si="20"/>
        <v>B5F1</v>
      </c>
    </row>
    <row r="133" spans="2:15">
      <c r="B133" s="48">
        <f t="shared" ca="1" si="14"/>
        <v>64414</v>
      </c>
      <c r="C133" s="49">
        <f ca="1">BitXOR(B133, $V$16)</f>
        <v>65434</v>
      </c>
      <c r="D133" s="64">
        <f t="shared" ca="1" si="15"/>
        <v>62003</v>
      </c>
      <c r="E133" s="64">
        <f t="shared" ca="1" si="16"/>
        <v>32268</v>
      </c>
      <c r="F133" s="89"/>
      <c r="G133" s="89"/>
      <c r="H133" s="47" t="str">
        <f t="shared" ca="1" si="17"/>
        <v>FB9E</v>
      </c>
      <c r="I133" s="89"/>
      <c r="J133" s="47" t="str">
        <f t="shared" ca="1" si="18"/>
        <v>FF9A</v>
      </c>
      <c r="K133" s="89"/>
      <c r="L133" s="89"/>
      <c r="M133" s="47" t="str">
        <f t="shared" ca="1" si="19"/>
        <v>F233</v>
      </c>
      <c r="N133" s="89"/>
      <c r="O133" s="47" t="str">
        <f t="shared" ca="1" si="20"/>
        <v>7E0C</v>
      </c>
    </row>
    <row r="134" spans="2:15">
      <c r="B134" s="48">
        <f t="shared" ca="1" si="14"/>
        <v>26140</v>
      </c>
      <c r="C134" s="49">
        <f ca="1">BitXOR(B134, $V$16)</f>
        <v>25112</v>
      </c>
      <c r="D134" s="64">
        <f t="shared" ca="1" si="15"/>
        <v>18287</v>
      </c>
      <c r="E134" s="64">
        <f t="shared" ca="1" si="16"/>
        <v>18309</v>
      </c>
      <c r="F134" s="89"/>
      <c r="G134" s="89"/>
      <c r="H134" s="47" t="str">
        <f t="shared" ca="1" si="17"/>
        <v>661C</v>
      </c>
      <c r="I134" s="89"/>
      <c r="J134" s="47" t="str">
        <f t="shared" ca="1" si="18"/>
        <v>6218</v>
      </c>
      <c r="K134" s="89"/>
      <c r="L134" s="89"/>
      <c r="M134" s="47" t="str">
        <f t="shared" ca="1" si="19"/>
        <v>476F</v>
      </c>
      <c r="N134" s="89"/>
      <c r="O134" s="47" t="str">
        <f t="shared" ca="1" si="20"/>
        <v>4785</v>
      </c>
    </row>
    <row r="135" spans="2:15">
      <c r="B135" s="48">
        <f t="shared" ca="1" si="14"/>
        <v>41985</v>
      </c>
      <c r="C135" s="49">
        <f ca="1">BitXOR(B135, $V$16)</f>
        <v>40965</v>
      </c>
      <c r="D135" s="64">
        <f t="shared" ca="1" si="15"/>
        <v>60316</v>
      </c>
      <c r="E135" s="64">
        <f t="shared" ca="1" si="16"/>
        <v>13070</v>
      </c>
      <c r="F135" s="89"/>
      <c r="G135" s="89"/>
      <c r="H135" s="47" t="str">
        <f t="shared" ca="1" si="17"/>
        <v>A401</v>
      </c>
      <c r="I135" s="89"/>
      <c r="J135" s="47" t="str">
        <f t="shared" ca="1" si="18"/>
        <v>A005</v>
      </c>
      <c r="K135" s="89"/>
      <c r="L135" s="89"/>
      <c r="M135" s="47" t="str">
        <f t="shared" ca="1" si="19"/>
        <v>EB9C</v>
      </c>
      <c r="N135" s="89"/>
      <c r="O135" s="47" t="str">
        <f t="shared" ca="1" si="20"/>
        <v>330E</v>
      </c>
    </row>
    <row r="136" spans="2:15">
      <c r="B136" s="48">
        <f t="shared" ca="1" si="14"/>
        <v>54319</v>
      </c>
      <c r="C136" s="49">
        <f ca="1">BitXOR(B136, $V$16)</f>
        <v>53291</v>
      </c>
      <c r="D136" s="64">
        <f t="shared" ca="1" si="15"/>
        <v>64606</v>
      </c>
      <c r="E136" s="64">
        <f t="shared" ca="1" si="16"/>
        <v>29961</v>
      </c>
      <c r="F136" s="89"/>
      <c r="G136" s="89"/>
      <c r="H136" s="47" t="str">
        <f t="shared" ca="1" si="17"/>
        <v>D42F</v>
      </c>
      <c r="I136" s="89"/>
      <c r="J136" s="47" t="str">
        <f t="shared" ca="1" si="18"/>
        <v>D02B</v>
      </c>
      <c r="K136" s="89"/>
      <c r="L136" s="89"/>
      <c r="M136" s="47" t="str">
        <f t="shared" ca="1" si="19"/>
        <v>FC5E</v>
      </c>
      <c r="N136" s="89"/>
      <c r="O136" s="47" t="str">
        <f t="shared" ca="1" si="20"/>
        <v>7509</v>
      </c>
    </row>
    <row r="137" spans="2:15">
      <c r="B137" s="48">
        <f t="shared" ca="1" si="14"/>
        <v>52169</v>
      </c>
      <c r="C137" s="49">
        <f ca="1">BitXOR(B137, $V$16)</f>
        <v>53197</v>
      </c>
      <c r="D137" s="64">
        <f t="shared" ca="1" si="15"/>
        <v>17165</v>
      </c>
      <c r="E137" s="64">
        <f t="shared" ca="1" si="16"/>
        <v>5087</v>
      </c>
      <c r="F137" s="89"/>
      <c r="G137" s="89"/>
      <c r="H137" s="47" t="str">
        <f t="shared" ca="1" si="17"/>
        <v>CBC9</v>
      </c>
      <c r="I137" s="89"/>
      <c r="J137" s="47" t="str">
        <f t="shared" ca="1" si="18"/>
        <v>CFCD</v>
      </c>
      <c r="K137" s="89"/>
      <c r="L137" s="89"/>
      <c r="M137" s="47" t="str">
        <f t="shared" ca="1" si="19"/>
        <v>430D</v>
      </c>
      <c r="N137" s="89"/>
      <c r="O137" s="47" t="str">
        <f t="shared" ca="1" si="20"/>
        <v>13DF</v>
      </c>
    </row>
    <row r="138" spans="2:15">
      <c r="B138" s="48">
        <f t="shared" ca="1" si="14"/>
        <v>64115</v>
      </c>
      <c r="C138" s="49">
        <f ca="1">BitXOR(B138, $V$16)</f>
        <v>65143</v>
      </c>
      <c r="D138" s="64">
        <f t="shared" ca="1" si="15"/>
        <v>28848</v>
      </c>
      <c r="E138" s="64">
        <f t="shared" ca="1" si="16"/>
        <v>29763</v>
      </c>
      <c r="F138" s="89"/>
      <c r="G138" s="89"/>
      <c r="H138" s="47" t="str">
        <f t="shared" ca="1" si="17"/>
        <v>FA73</v>
      </c>
      <c r="I138" s="89"/>
      <c r="J138" s="47" t="str">
        <f t="shared" ca="1" si="18"/>
        <v>FE77</v>
      </c>
      <c r="K138" s="89"/>
      <c r="L138" s="89"/>
      <c r="M138" s="47" t="str">
        <f t="shared" ca="1" si="19"/>
        <v>70B0</v>
      </c>
      <c r="N138" s="89"/>
      <c r="O138" s="47" t="str">
        <f t="shared" ca="1" si="20"/>
        <v>7443</v>
      </c>
    </row>
    <row r="139" spans="2:15">
      <c r="B139" s="48">
        <f t="shared" ca="1" si="14"/>
        <v>2421</v>
      </c>
      <c r="C139" s="49">
        <f ca="1">BitXOR(B139, $V$16)</f>
        <v>3441</v>
      </c>
      <c r="D139" s="64">
        <f t="shared" ca="1" si="15"/>
        <v>7551</v>
      </c>
      <c r="E139" s="64">
        <f t="shared" ca="1" si="16"/>
        <v>64665</v>
      </c>
      <c r="F139" s="89"/>
      <c r="G139" s="89"/>
      <c r="H139" s="47" t="str">
        <f t="shared" ca="1" si="17"/>
        <v>0975</v>
      </c>
      <c r="I139" s="89"/>
      <c r="J139" s="47" t="str">
        <f t="shared" ca="1" si="18"/>
        <v>0D71</v>
      </c>
      <c r="K139" s="89"/>
      <c r="L139" s="89"/>
      <c r="M139" s="47" t="str">
        <f t="shared" ca="1" si="19"/>
        <v>1D7F</v>
      </c>
      <c r="N139" s="89"/>
      <c r="O139" s="47" t="str">
        <f t="shared" ca="1" si="20"/>
        <v>FC99</v>
      </c>
    </row>
    <row r="140" spans="2:15">
      <c r="B140" s="48">
        <f t="shared" ca="1" si="14"/>
        <v>24460</v>
      </c>
      <c r="C140" s="49">
        <f ca="1">BitXOR(B140, $V$16)</f>
        <v>23432</v>
      </c>
      <c r="D140" s="64">
        <f t="shared" ca="1" si="15"/>
        <v>9853</v>
      </c>
      <c r="E140" s="64">
        <f t="shared" ca="1" si="16"/>
        <v>9395</v>
      </c>
      <c r="F140" s="89"/>
      <c r="G140" s="89"/>
      <c r="H140" s="47" t="str">
        <f t="shared" ca="1" si="17"/>
        <v>5F8C</v>
      </c>
      <c r="I140" s="89"/>
      <c r="J140" s="47" t="str">
        <f t="shared" ca="1" si="18"/>
        <v>5B88</v>
      </c>
      <c r="K140" s="89"/>
      <c r="L140" s="89"/>
      <c r="M140" s="47" t="str">
        <f t="shared" ca="1" si="19"/>
        <v>267D</v>
      </c>
      <c r="N140" s="89"/>
      <c r="O140" s="47" t="str">
        <f t="shared" ca="1" si="20"/>
        <v>24B3</v>
      </c>
    </row>
    <row r="141" spans="2:15">
      <c r="B141" s="48">
        <f t="shared" ca="1" si="14"/>
        <v>25615</v>
      </c>
      <c r="C141" s="49">
        <f ca="1">BitXOR(B141, $V$16)</f>
        <v>24587</v>
      </c>
      <c r="D141" s="64">
        <f t="shared" ca="1" si="15"/>
        <v>13467</v>
      </c>
      <c r="E141" s="64">
        <f t="shared" ca="1" si="16"/>
        <v>36713</v>
      </c>
      <c r="F141" s="89"/>
      <c r="G141" s="89"/>
      <c r="H141" s="47" t="str">
        <f t="shared" ca="1" si="17"/>
        <v>640F</v>
      </c>
      <c r="I141" s="89"/>
      <c r="J141" s="47" t="str">
        <f t="shared" ca="1" si="18"/>
        <v>600B</v>
      </c>
      <c r="K141" s="89"/>
      <c r="L141" s="89"/>
      <c r="M141" s="47" t="str">
        <f t="shared" ca="1" si="19"/>
        <v>349B</v>
      </c>
      <c r="N141" s="89"/>
      <c r="O141" s="47" t="str">
        <f t="shared" ca="1" si="20"/>
        <v>8F69</v>
      </c>
    </row>
    <row r="142" spans="2:15">
      <c r="B142" s="48">
        <f t="shared" ca="1" si="14"/>
        <v>49584</v>
      </c>
      <c r="C142" s="49">
        <f ca="1">BitXOR(B142, $V$16)</f>
        <v>50612</v>
      </c>
      <c r="D142" s="64">
        <f t="shared" ca="1" si="15"/>
        <v>29836</v>
      </c>
      <c r="E142" s="64">
        <f t="shared" ca="1" si="16"/>
        <v>37944</v>
      </c>
      <c r="F142" s="89"/>
      <c r="G142" s="89"/>
      <c r="H142" s="47" t="str">
        <f t="shared" ca="1" si="17"/>
        <v>C1B0</v>
      </c>
      <c r="I142" s="89"/>
      <c r="J142" s="47" t="str">
        <f t="shared" ca="1" si="18"/>
        <v>C5B4</v>
      </c>
      <c r="K142" s="89"/>
      <c r="L142" s="89"/>
      <c r="M142" s="47" t="str">
        <f t="shared" ca="1" si="19"/>
        <v>748C</v>
      </c>
      <c r="N142" s="89"/>
      <c r="O142" s="47" t="str">
        <f t="shared" ca="1" si="20"/>
        <v>9438</v>
      </c>
    </row>
    <row r="143" spans="2:15">
      <c r="B143" s="48">
        <f t="shared" ca="1" si="14"/>
        <v>19761</v>
      </c>
      <c r="C143" s="49">
        <f ca="1">BitXOR(B143, $V$16)</f>
        <v>18741</v>
      </c>
      <c r="D143" s="64">
        <f t="shared" ca="1" si="15"/>
        <v>60519</v>
      </c>
      <c r="E143" s="64">
        <f t="shared" ca="1" si="16"/>
        <v>152</v>
      </c>
      <c r="F143" s="89"/>
      <c r="G143" s="89"/>
      <c r="H143" s="47" t="str">
        <f t="shared" ca="1" si="17"/>
        <v>4D31</v>
      </c>
      <c r="I143" s="89"/>
      <c r="J143" s="47" t="str">
        <f t="shared" ca="1" si="18"/>
        <v>4935</v>
      </c>
      <c r="K143" s="89"/>
      <c r="L143" s="89"/>
      <c r="M143" s="47" t="str">
        <f t="shared" ca="1" si="19"/>
        <v>EC67</v>
      </c>
      <c r="N143" s="89"/>
      <c r="O143" s="47" t="str">
        <f t="shared" ca="1" si="20"/>
        <v>0098</v>
      </c>
    </row>
    <row r="144" spans="2:15">
      <c r="B144" s="48">
        <f t="shared" ca="1" si="14"/>
        <v>21797</v>
      </c>
      <c r="C144" s="49">
        <f ca="1">BitXOR(B144, $V$16)</f>
        <v>20769</v>
      </c>
      <c r="D144" s="64">
        <f t="shared" ca="1" si="15"/>
        <v>17764</v>
      </c>
      <c r="E144" s="64">
        <f t="shared" ca="1" si="16"/>
        <v>39531</v>
      </c>
      <c r="F144" s="89"/>
      <c r="G144" s="89"/>
      <c r="H144" s="47" t="str">
        <f t="shared" ca="1" si="17"/>
        <v>5525</v>
      </c>
      <c r="I144" s="89"/>
      <c r="J144" s="47" t="str">
        <f t="shared" ca="1" si="18"/>
        <v>5121</v>
      </c>
      <c r="K144" s="89"/>
      <c r="L144" s="89"/>
      <c r="M144" s="47" t="str">
        <f t="shared" ca="1" si="19"/>
        <v>4564</v>
      </c>
      <c r="N144" s="89"/>
      <c r="O144" s="47" t="str">
        <f t="shared" ca="1" si="20"/>
        <v>9A6B</v>
      </c>
    </row>
    <row r="145" spans="2:15">
      <c r="B145" s="48">
        <f t="shared" ca="1" si="14"/>
        <v>7762</v>
      </c>
      <c r="C145" s="49">
        <f ca="1">BitXOR(B145, $V$16)</f>
        <v>6742</v>
      </c>
      <c r="D145" s="64">
        <f t="shared" ca="1" si="15"/>
        <v>31218</v>
      </c>
      <c r="E145" s="64">
        <f t="shared" ca="1" si="16"/>
        <v>50699</v>
      </c>
      <c r="F145" s="89"/>
      <c r="G145" s="89"/>
      <c r="H145" s="47" t="str">
        <f t="shared" ca="1" si="17"/>
        <v>1E52</v>
      </c>
      <c r="I145" s="89"/>
      <c r="J145" s="47" t="str">
        <f t="shared" ca="1" si="18"/>
        <v>1A56</v>
      </c>
      <c r="K145" s="89"/>
      <c r="L145" s="89"/>
      <c r="M145" s="47" t="str">
        <f t="shared" ca="1" si="19"/>
        <v>79F2</v>
      </c>
      <c r="N145" s="89"/>
      <c r="O145" s="47" t="str">
        <f t="shared" ca="1" si="20"/>
        <v>C60B</v>
      </c>
    </row>
    <row r="146" spans="2:15">
      <c r="B146" s="48">
        <f t="shared" ca="1" si="14"/>
        <v>7871</v>
      </c>
      <c r="C146" s="49">
        <f ca="1">BitXOR(B146, $V$16)</f>
        <v>6843</v>
      </c>
      <c r="D146" s="64">
        <f t="shared" ca="1" si="15"/>
        <v>47591</v>
      </c>
      <c r="E146" s="64">
        <f t="shared" ca="1" si="16"/>
        <v>63046</v>
      </c>
      <c r="F146" s="89"/>
      <c r="G146" s="89"/>
      <c r="H146" s="47" t="str">
        <f t="shared" ca="1" si="17"/>
        <v>1EBF</v>
      </c>
      <c r="I146" s="89"/>
      <c r="J146" s="47" t="str">
        <f t="shared" ca="1" si="18"/>
        <v>1ABB</v>
      </c>
      <c r="K146" s="89"/>
      <c r="L146" s="89"/>
      <c r="M146" s="47" t="str">
        <f t="shared" ca="1" si="19"/>
        <v>B9E7</v>
      </c>
      <c r="N146" s="89"/>
      <c r="O146" s="47" t="str">
        <f t="shared" ca="1" si="20"/>
        <v>F646</v>
      </c>
    </row>
    <row r="147" spans="2:15">
      <c r="B147" s="48">
        <f t="shared" ca="1" si="14"/>
        <v>46045</v>
      </c>
      <c r="C147" s="49">
        <f ca="1">BitXOR(B147, $V$16)</f>
        <v>47065</v>
      </c>
      <c r="D147" s="64">
        <f t="shared" ca="1" si="15"/>
        <v>5623</v>
      </c>
      <c r="E147" s="64">
        <f t="shared" ca="1" si="16"/>
        <v>54775</v>
      </c>
      <c r="F147" s="89"/>
      <c r="G147" s="89"/>
      <c r="H147" s="47" t="str">
        <f t="shared" ca="1" si="17"/>
        <v>B3DD</v>
      </c>
      <c r="I147" s="89"/>
      <c r="J147" s="47" t="str">
        <f t="shared" ca="1" si="18"/>
        <v>B7D9</v>
      </c>
      <c r="K147" s="89"/>
      <c r="L147" s="89"/>
      <c r="M147" s="47" t="str">
        <f t="shared" ca="1" si="19"/>
        <v>15F7</v>
      </c>
      <c r="N147" s="89"/>
      <c r="O147" s="47" t="str">
        <f t="shared" ca="1" si="20"/>
        <v>D5F7</v>
      </c>
    </row>
    <row r="148" spans="2:15">
      <c r="B148" s="48">
        <f t="shared" ca="1" si="14"/>
        <v>37495</v>
      </c>
      <c r="C148" s="49">
        <f ca="1">BitXOR(B148, $V$16)</f>
        <v>38515</v>
      </c>
      <c r="D148" s="64">
        <f t="shared" ca="1" si="15"/>
        <v>35900</v>
      </c>
      <c r="E148" s="64">
        <f t="shared" ca="1" si="16"/>
        <v>35020</v>
      </c>
      <c r="F148" s="89"/>
      <c r="G148" s="89"/>
      <c r="H148" s="47" t="str">
        <f t="shared" ca="1" si="17"/>
        <v>9277</v>
      </c>
      <c r="I148" s="89"/>
      <c r="J148" s="47" t="str">
        <f t="shared" ca="1" si="18"/>
        <v>9673</v>
      </c>
      <c r="K148" s="89"/>
      <c r="L148" s="89"/>
      <c r="M148" s="47" t="str">
        <f t="shared" ca="1" si="19"/>
        <v>8C3C</v>
      </c>
      <c r="N148" s="89"/>
      <c r="O148" s="47" t="str">
        <f t="shared" ca="1" si="20"/>
        <v>88CC</v>
      </c>
    </row>
    <row r="149" spans="2:15">
      <c r="B149" s="48">
        <f t="shared" ca="1" si="14"/>
        <v>13556</v>
      </c>
      <c r="C149" s="49">
        <f ca="1">BitXOR(B149, $V$16)</f>
        <v>12528</v>
      </c>
      <c r="D149" s="64">
        <f t="shared" ca="1" si="15"/>
        <v>52018</v>
      </c>
      <c r="E149" s="64">
        <f t="shared" ca="1" si="16"/>
        <v>15138</v>
      </c>
      <c r="F149" s="89"/>
      <c r="G149" s="89"/>
      <c r="H149" s="47" t="str">
        <f t="shared" ca="1" si="17"/>
        <v>34F4</v>
      </c>
      <c r="I149" s="89"/>
      <c r="J149" s="47" t="str">
        <f t="shared" ca="1" si="18"/>
        <v>30F0</v>
      </c>
      <c r="K149" s="89"/>
      <c r="L149" s="89"/>
      <c r="M149" s="47" t="str">
        <f t="shared" ca="1" si="19"/>
        <v>CB32</v>
      </c>
      <c r="N149" s="89"/>
      <c r="O149" s="47" t="str">
        <f t="shared" ca="1" si="20"/>
        <v>3B22</v>
      </c>
    </row>
    <row r="150" spans="2:15">
      <c r="B150" s="48">
        <f t="shared" ca="1" si="14"/>
        <v>48731</v>
      </c>
      <c r="C150" s="49">
        <f ca="1">BitXOR(B150, $V$16)</f>
        <v>47711</v>
      </c>
      <c r="D150" s="64">
        <f t="shared" ca="1" si="15"/>
        <v>59030</v>
      </c>
      <c r="E150" s="64">
        <f t="shared" ca="1" si="16"/>
        <v>60148</v>
      </c>
      <c r="F150" s="89"/>
      <c r="G150" s="89"/>
      <c r="H150" s="47" t="str">
        <f t="shared" ca="1" si="17"/>
        <v>BE5B</v>
      </c>
      <c r="I150" s="89"/>
      <c r="J150" s="47" t="str">
        <f t="shared" ca="1" si="18"/>
        <v>BA5F</v>
      </c>
      <c r="K150" s="89"/>
      <c r="L150" s="89"/>
      <c r="M150" s="47" t="str">
        <f t="shared" ca="1" si="19"/>
        <v>E696</v>
      </c>
      <c r="N150" s="89"/>
      <c r="O150" s="47" t="str">
        <f t="shared" ca="1" si="20"/>
        <v>EAF4</v>
      </c>
    </row>
    <row r="151" spans="2:15">
      <c r="B151" s="48">
        <f t="shared" ref="B151:B214" ca="1" si="21">RANDBETWEEN(1,2^16-1)</f>
        <v>12350</v>
      </c>
      <c r="C151" s="49">
        <f ca="1">BitXOR(B151, $V$16)</f>
        <v>13370</v>
      </c>
      <c r="D151" s="64">
        <f t="shared" ca="1" si="15"/>
        <v>58354</v>
      </c>
      <c r="E151" s="64">
        <f t="shared" ca="1" si="16"/>
        <v>58269</v>
      </c>
      <c r="F151" s="89"/>
      <c r="G151" s="89"/>
      <c r="H151" s="47" t="str">
        <f t="shared" ca="1" si="17"/>
        <v>303E</v>
      </c>
      <c r="I151" s="89"/>
      <c r="J151" s="47" t="str">
        <f t="shared" ca="1" si="18"/>
        <v>343A</v>
      </c>
      <c r="K151" s="89"/>
      <c r="L151" s="89"/>
      <c r="M151" s="47" t="str">
        <f t="shared" ca="1" si="19"/>
        <v>E3F2</v>
      </c>
      <c r="N151" s="89"/>
      <c r="O151" s="47" t="str">
        <f t="shared" ca="1" si="20"/>
        <v>E39D</v>
      </c>
    </row>
    <row r="152" spans="2:15">
      <c r="B152" s="48">
        <f t="shared" ca="1" si="21"/>
        <v>33991</v>
      </c>
      <c r="C152" s="49">
        <f ca="1">BitXOR(B152, $V$16)</f>
        <v>32963</v>
      </c>
      <c r="D152" s="64">
        <f t="shared" ca="1" si="15"/>
        <v>58107</v>
      </c>
      <c r="E152" s="64">
        <f t="shared" ca="1" si="16"/>
        <v>59129</v>
      </c>
      <c r="F152" s="89"/>
      <c r="G152" s="89"/>
      <c r="H152" s="47" t="str">
        <f t="shared" ca="1" si="17"/>
        <v>84C7</v>
      </c>
      <c r="I152" s="89"/>
      <c r="J152" s="47" t="str">
        <f t="shared" ca="1" si="18"/>
        <v>80C3</v>
      </c>
      <c r="K152" s="89"/>
      <c r="L152" s="89"/>
      <c r="M152" s="47" t="str">
        <f t="shared" ca="1" si="19"/>
        <v>E2FB</v>
      </c>
      <c r="N152" s="89"/>
      <c r="O152" s="47" t="str">
        <f t="shared" ca="1" si="20"/>
        <v>E6F9</v>
      </c>
    </row>
    <row r="153" spans="2:15">
      <c r="B153" s="48">
        <f t="shared" ca="1" si="21"/>
        <v>53341</v>
      </c>
      <c r="C153" s="49">
        <f ca="1">BitXOR(B153, $V$16)</f>
        <v>54361</v>
      </c>
      <c r="D153" s="64">
        <f t="shared" ca="1" si="15"/>
        <v>3385</v>
      </c>
      <c r="E153" s="64">
        <f t="shared" ca="1" si="16"/>
        <v>19553</v>
      </c>
      <c r="F153" s="89"/>
      <c r="G153" s="89"/>
      <c r="H153" s="47" t="str">
        <f t="shared" ca="1" si="17"/>
        <v>D05D</v>
      </c>
      <c r="I153" s="89"/>
      <c r="J153" s="47" t="str">
        <f t="shared" ca="1" si="18"/>
        <v>D459</v>
      </c>
      <c r="K153" s="89"/>
      <c r="L153" s="89"/>
      <c r="M153" s="47" t="str">
        <f t="shared" ca="1" si="19"/>
        <v>0D39</v>
      </c>
      <c r="N153" s="89"/>
      <c r="O153" s="47" t="str">
        <f t="shared" ca="1" si="20"/>
        <v>4C61</v>
      </c>
    </row>
    <row r="154" spans="2:15">
      <c r="B154" s="48">
        <f t="shared" ca="1" si="21"/>
        <v>44255</v>
      </c>
      <c r="C154" s="49">
        <f ca="1">BitXOR(B154, $V$16)</f>
        <v>43227</v>
      </c>
      <c r="D154" s="64">
        <f t="shared" ca="1" si="15"/>
        <v>24840</v>
      </c>
      <c r="E154" s="64">
        <f t="shared" ca="1" si="16"/>
        <v>62554</v>
      </c>
      <c r="F154" s="89"/>
      <c r="G154" s="89"/>
      <c r="H154" s="47" t="str">
        <f t="shared" ca="1" si="17"/>
        <v>ACDF</v>
      </c>
      <c r="I154" s="89"/>
      <c r="J154" s="47" t="str">
        <f t="shared" ca="1" si="18"/>
        <v>A8DB</v>
      </c>
      <c r="K154" s="89"/>
      <c r="L154" s="89"/>
      <c r="M154" s="47" t="str">
        <f t="shared" ca="1" si="19"/>
        <v>6108</v>
      </c>
      <c r="N154" s="89"/>
      <c r="O154" s="47" t="str">
        <f t="shared" ca="1" si="20"/>
        <v>F45A</v>
      </c>
    </row>
    <row r="155" spans="2:15">
      <c r="B155" s="48">
        <f t="shared" ca="1" si="21"/>
        <v>21331</v>
      </c>
      <c r="C155" s="49">
        <f ca="1">BitXOR(B155, $V$16)</f>
        <v>22359</v>
      </c>
      <c r="D155" s="64">
        <f t="shared" ca="1" si="15"/>
        <v>8794</v>
      </c>
      <c r="E155" s="64">
        <f t="shared" ca="1" si="16"/>
        <v>9826</v>
      </c>
      <c r="F155" s="89"/>
      <c r="G155" s="89"/>
      <c r="H155" s="47" t="str">
        <f t="shared" ca="1" si="17"/>
        <v>5353</v>
      </c>
      <c r="I155" s="89"/>
      <c r="J155" s="47" t="str">
        <f t="shared" ca="1" si="18"/>
        <v>5757</v>
      </c>
      <c r="K155" s="89"/>
      <c r="L155" s="89"/>
      <c r="M155" s="47" t="str">
        <f t="shared" ca="1" si="19"/>
        <v>225A</v>
      </c>
      <c r="N155" s="89"/>
      <c r="O155" s="47" t="str">
        <f t="shared" ca="1" si="20"/>
        <v>2662</v>
      </c>
    </row>
    <row r="156" spans="2:15">
      <c r="B156" s="48">
        <f t="shared" ca="1" si="21"/>
        <v>10745</v>
      </c>
      <c r="C156" s="49">
        <f ca="1">BitXOR(B156, $V$16)</f>
        <v>11773</v>
      </c>
      <c r="D156" s="64">
        <f t="shared" ca="1" si="15"/>
        <v>38343</v>
      </c>
      <c r="E156" s="64">
        <f t="shared" ca="1" si="16"/>
        <v>6551</v>
      </c>
      <c r="F156" s="89"/>
      <c r="G156" s="89"/>
      <c r="H156" s="47" t="str">
        <f t="shared" ca="1" si="17"/>
        <v>29F9</v>
      </c>
      <c r="I156" s="89"/>
      <c r="J156" s="47" t="str">
        <f t="shared" ca="1" si="18"/>
        <v>2DFD</v>
      </c>
      <c r="K156" s="89"/>
      <c r="L156" s="89"/>
      <c r="M156" s="47" t="str">
        <f t="shared" ca="1" si="19"/>
        <v>95C7</v>
      </c>
      <c r="N156" s="89"/>
      <c r="O156" s="47" t="str">
        <f t="shared" ca="1" si="20"/>
        <v>1997</v>
      </c>
    </row>
    <row r="157" spans="2:15">
      <c r="B157" s="48">
        <f t="shared" ca="1" si="21"/>
        <v>38098</v>
      </c>
      <c r="C157" s="49">
        <f ca="1">BitXOR(B157, $V$16)</f>
        <v>37078</v>
      </c>
      <c r="D157" s="64">
        <f t="shared" ca="1" si="15"/>
        <v>3332</v>
      </c>
      <c r="E157" s="64">
        <f t="shared" ca="1" si="16"/>
        <v>49739</v>
      </c>
      <c r="F157" s="89"/>
      <c r="G157" s="89"/>
      <c r="H157" s="47" t="str">
        <f t="shared" ca="1" si="17"/>
        <v>94D2</v>
      </c>
      <c r="I157" s="89"/>
      <c r="J157" s="47" t="str">
        <f t="shared" ca="1" si="18"/>
        <v>90D6</v>
      </c>
      <c r="K157" s="89"/>
      <c r="L157" s="89"/>
      <c r="M157" s="47" t="str">
        <f t="shared" ca="1" si="19"/>
        <v>0D04</v>
      </c>
      <c r="N157" s="89"/>
      <c r="O157" s="47" t="str">
        <f t="shared" ca="1" si="20"/>
        <v>C24B</v>
      </c>
    </row>
    <row r="158" spans="2:15">
      <c r="B158" s="48">
        <f t="shared" ca="1" si="21"/>
        <v>43455</v>
      </c>
      <c r="C158" s="49">
        <f ca="1">BitXOR(B158, $V$16)</f>
        <v>44475</v>
      </c>
      <c r="D158" s="64">
        <f t="shared" ca="1" si="15"/>
        <v>60244</v>
      </c>
      <c r="E158" s="64">
        <f t="shared" ca="1" si="16"/>
        <v>1616</v>
      </c>
      <c r="F158" s="89"/>
      <c r="G158" s="89"/>
      <c r="H158" s="47" t="str">
        <f t="shared" ca="1" si="17"/>
        <v>A9BF</v>
      </c>
      <c r="I158" s="89"/>
      <c r="J158" s="47" t="str">
        <f t="shared" ca="1" si="18"/>
        <v>ADBB</v>
      </c>
      <c r="K158" s="89"/>
      <c r="L158" s="89"/>
      <c r="M158" s="47" t="str">
        <f t="shared" ca="1" si="19"/>
        <v>EB54</v>
      </c>
      <c r="N158" s="89"/>
      <c r="O158" s="47" t="str">
        <f t="shared" ca="1" si="20"/>
        <v>0650</v>
      </c>
    </row>
    <row r="159" spans="2:15">
      <c r="B159" s="48">
        <f t="shared" ca="1" si="21"/>
        <v>47646</v>
      </c>
      <c r="C159" s="49">
        <f ca="1">BitXOR(B159, $V$16)</f>
        <v>48666</v>
      </c>
      <c r="D159" s="64">
        <f t="shared" ca="1" si="15"/>
        <v>61392</v>
      </c>
      <c r="E159" s="64">
        <f t="shared" ca="1" si="16"/>
        <v>18412</v>
      </c>
      <c r="F159" s="89"/>
      <c r="G159" s="89"/>
      <c r="H159" s="47" t="str">
        <f t="shared" ca="1" si="17"/>
        <v>BA1E</v>
      </c>
      <c r="I159" s="89"/>
      <c r="J159" s="47" t="str">
        <f t="shared" ca="1" si="18"/>
        <v>BE1A</v>
      </c>
      <c r="K159" s="89"/>
      <c r="L159" s="89"/>
      <c r="M159" s="47" t="str">
        <f t="shared" ca="1" si="19"/>
        <v>EFD0</v>
      </c>
      <c r="N159" s="89"/>
      <c r="O159" s="47" t="str">
        <f t="shared" ca="1" si="20"/>
        <v>47EC</v>
      </c>
    </row>
    <row r="160" spans="2:15">
      <c r="B160" s="48">
        <f t="shared" ca="1" si="21"/>
        <v>4706</v>
      </c>
      <c r="C160" s="49">
        <f ca="1">BitXOR(B160, $V$16)</f>
        <v>5734</v>
      </c>
      <c r="D160" s="64">
        <f t="shared" ca="1" si="15"/>
        <v>53620</v>
      </c>
      <c r="E160" s="64">
        <f t="shared" ca="1" si="16"/>
        <v>35528</v>
      </c>
      <c r="F160" s="89"/>
      <c r="G160" s="89"/>
      <c r="H160" s="47" t="str">
        <f t="shared" ca="1" si="17"/>
        <v>1262</v>
      </c>
      <c r="I160" s="89"/>
      <c r="J160" s="47" t="str">
        <f t="shared" ca="1" si="18"/>
        <v>1666</v>
      </c>
      <c r="K160" s="89"/>
      <c r="L160" s="89"/>
      <c r="M160" s="47" t="str">
        <f t="shared" ca="1" si="19"/>
        <v>D174</v>
      </c>
      <c r="N160" s="89"/>
      <c r="O160" s="47" t="str">
        <f t="shared" ca="1" si="20"/>
        <v>8AC8</v>
      </c>
    </row>
    <row r="161" spans="2:15">
      <c r="B161" s="48">
        <f t="shared" ca="1" si="21"/>
        <v>21186</v>
      </c>
      <c r="C161" s="49">
        <f ca="1">BitXOR(B161, $V$16)</f>
        <v>22214</v>
      </c>
      <c r="D161" s="64">
        <f t="shared" ca="1" si="15"/>
        <v>9596</v>
      </c>
      <c r="E161" s="64">
        <f t="shared" ca="1" si="16"/>
        <v>35543</v>
      </c>
      <c r="F161" s="89"/>
      <c r="G161" s="89"/>
      <c r="H161" s="47" t="str">
        <f t="shared" ca="1" si="17"/>
        <v>52C2</v>
      </c>
      <c r="I161" s="89"/>
      <c r="J161" s="47" t="str">
        <f t="shared" ca="1" si="18"/>
        <v>56C6</v>
      </c>
      <c r="K161" s="89"/>
      <c r="L161" s="89"/>
      <c r="M161" s="47" t="str">
        <f t="shared" ca="1" si="19"/>
        <v>257C</v>
      </c>
      <c r="N161" s="89"/>
      <c r="O161" s="47" t="str">
        <f t="shared" ca="1" si="20"/>
        <v>8AD7</v>
      </c>
    </row>
    <row r="162" spans="2:15">
      <c r="B162" s="48">
        <f t="shared" ca="1" si="21"/>
        <v>50705</v>
      </c>
      <c r="C162" s="49">
        <f ca="1">BitXOR(B162, $V$16)</f>
        <v>49685</v>
      </c>
      <c r="D162" s="64">
        <f t="shared" ca="1" si="15"/>
        <v>62138</v>
      </c>
      <c r="E162" s="64">
        <f t="shared" ca="1" si="16"/>
        <v>30187</v>
      </c>
      <c r="F162" s="89"/>
      <c r="G162" s="89"/>
      <c r="H162" s="47" t="str">
        <f t="shared" ca="1" si="17"/>
        <v>C611</v>
      </c>
      <c r="I162" s="89"/>
      <c r="J162" s="47" t="str">
        <f t="shared" ca="1" si="18"/>
        <v>C215</v>
      </c>
      <c r="K162" s="89"/>
      <c r="L162" s="89"/>
      <c r="M162" s="47" t="str">
        <f t="shared" ca="1" si="19"/>
        <v>F2BA</v>
      </c>
      <c r="N162" s="89"/>
      <c r="O162" s="47" t="str">
        <f t="shared" ca="1" si="20"/>
        <v>75EB</v>
      </c>
    </row>
    <row r="163" spans="2:15">
      <c r="B163" s="48">
        <f t="shared" ca="1" si="21"/>
        <v>48049</v>
      </c>
      <c r="C163" s="49">
        <f ca="1">BitXOR(B163, $V$16)</f>
        <v>49077</v>
      </c>
      <c r="D163" s="64">
        <f t="shared" ca="1" si="15"/>
        <v>38488</v>
      </c>
      <c r="E163" s="64">
        <f t="shared" ca="1" si="16"/>
        <v>4851</v>
      </c>
      <c r="F163" s="89"/>
      <c r="G163" s="89"/>
      <c r="H163" s="47" t="str">
        <f t="shared" ca="1" si="17"/>
        <v>BBB1</v>
      </c>
      <c r="I163" s="89"/>
      <c r="J163" s="47" t="str">
        <f t="shared" ca="1" si="18"/>
        <v>BFB5</v>
      </c>
      <c r="K163" s="89"/>
      <c r="L163" s="89"/>
      <c r="M163" s="47" t="str">
        <f t="shared" ca="1" si="19"/>
        <v>9658</v>
      </c>
      <c r="N163" s="89"/>
      <c r="O163" s="47" t="str">
        <f t="shared" ca="1" si="20"/>
        <v>12F3</v>
      </c>
    </row>
    <row r="164" spans="2:15">
      <c r="B164" s="48">
        <f t="shared" ca="1" si="21"/>
        <v>3729</v>
      </c>
      <c r="C164" s="49">
        <f ca="1">BitXOR(B164, $V$16)</f>
        <v>2709</v>
      </c>
      <c r="D164" s="64">
        <f t="shared" ca="1" si="15"/>
        <v>41790</v>
      </c>
      <c r="E164" s="64">
        <f t="shared" ca="1" si="16"/>
        <v>13301</v>
      </c>
      <c r="F164" s="89"/>
      <c r="G164" s="89"/>
      <c r="H164" s="47" t="str">
        <f t="shared" ca="1" si="17"/>
        <v>0E91</v>
      </c>
      <c r="I164" s="89"/>
      <c r="J164" s="47" t="str">
        <f t="shared" ca="1" si="18"/>
        <v>0A95</v>
      </c>
      <c r="K164" s="89"/>
      <c r="L164" s="89"/>
      <c r="M164" s="47" t="str">
        <f t="shared" ca="1" si="19"/>
        <v>A33E</v>
      </c>
      <c r="N164" s="89"/>
      <c r="O164" s="47" t="str">
        <f t="shared" ca="1" si="20"/>
        <v>33F5</v>
      </c>
    </row>
    <row r="165" spans="2:15">
      <c r="B165" s="48">
        <f t="shared" ca="1" si="21"/>
        <v>52132</v>
      </c>
      <c r="C165" s="49">
        <f ca="1">BitXOR(B165, $V$16)</f>
        <v>53152</v>
      </c>
      <c r="D165" s="64">
        <f t="shared" ref="D165:D228" ca="1" si="22">Encrypt(B165, $D$2:$S$3, $D$6:$S$7, $V$10,$V$11,$V$12,$W$10,$W$11)</f>
        <v>40154</v>
      </c>
      <c r="E165" s="64">
        <f t="shared" ref="E165:E228" ca="1" si="23">Encrypt(C165, $D$2:$S$3, $D$6:$S$7, $V$10,$V$11,$V$12,$W$10,$W$11)</f>
        <v>55939</v>
      </c>
      <c r="F165" s="89"/>
      <c r="G165" s="89"/>
      <c r="H165" s="47" t="str">
        <f t="shared" ref="H165:H228" ca="1" si="24">DEC2HEX(B165,4)</f>
        <v>CBA4</v>
      </c>
      <c r="I165" s="89"/>
      <c r="J165" s="47" t="str">
        <f t="shared" ref="J165:J228" ca="1" si="25">DEC2HEX(C165,4)</f>
        <v>CFA0</v>
      </c>
      <c r="K165" s="89"/>
      <c r="L165" s="89"/>
      <c r="M165" s="47" t="str">
        <f t="shared" ref="M165:M228" ca="1" si="26">DEC2HEX(D165,4)</f>
        <v>9CDA</v>
      </c>
      <c r="N165" s="89"/>
      <c r="O165" s="47" t="str">
        <f t="shared" ref="O165:O228" ca="1" si="27">DEC2HEX(E165,4)</f>
        <v>DA83</v>
      </c>
    </row>
    <row r="166" spans="2:15">
      <c r="B166" s="48">
        <f t="shared" ca="1" si="21"/>
        <v>4619</v>
      </c>
      <c r="C166" s="49">
        <f ca="1">BitXOR(B166, $V$16)</f>
        <v>5647</v>
      </c>
      <c r="D166" s="64">
        <f t="shared" ca="1" si="22"/>
        <v>53254</v>
      </c>
      <c r="E166" s="64">
        <f t="shared" ca="1" si="23"/>
        <v>44656</v>
      </c>
      <c r="F166" s="89"/>
      <c r="G166" s="89"/>
      <c r="H166" s="47" t="str">
        <f t="shared" ca="1" si="24"/>
        <v>120B</v>
      </c>
      <c r="I166" s="89"/>
      <c r="J166" s="47" t="str">
        <f t="shared" ca="1" si="25"/>
        <v>160F</v>
      </c>
      <c r="K166" s="89"/>
      <c r="L166" s="89"/>
      <c r="M166" s="47" t="str">
        <f t="shared" ca="1" si="26"/>
        <v>D006</v>
      </c>
      <c r="N166" s="89"/>
      <c r="O166" s="47" t="str">
        <f t="shared" ca="1" si="27"/>
        <v>AE70</v>
      </c>
    </row>
    <row r="167" spans="2:15">
      <c r="B167" s="48">
        <f t="shared" ca="1" si="21"/>
        <v>15360</v>
      </c>
      <c r="C167" s="49">
        <f ca="1">BitXOR(B167, $V$16)</f>
        <v>14340</v>
      </c>
      <c r="D167" s="64">
        <f t="shared" ca="1" si="22"/>
        <v>32892</v>
      </c>
      <c r="E167" s="64">
        <f t="shared" ca="1" si="23"/>
        <v>17984</v>
      </c>
      <c r="F167" s="89"/>
      <c r="G167" s="89"/>
      <c r="H167" s="47" t="str">
        <f t="shared" ca="1" si="24"/>
        <v>3C00</v>
      </c>
      <c r="I167" s="89"/>
      <c r="J167" s="47" t="str">
        <f t="shared" ca="1" si="25"/>
        <v>3804</v>
      </c>
      <c r="K167" s="89"/>
      <c r="L167" s="89"/>
      <c r="M167" s="47" t="str">
        <f t="shared" ca="1" si="26"/>
        <v>807C</v>
      </c>
      <c r="N167" s="89"/>
      <c r="O167" s="47" t="str">
        <f t="shared" ca="1" si="27"/>
        <v>4640</v>
      </c>
    </row>
    <row r="168" spans="2:15">
      <c r="B168" s="48">
        <f t="shared" ca="1" si="21"/>
        <v>47322</v>
      </c>
      <c r="C168" s="49">
        <f ca="1">BitXOR(B168, $V$16)</f>
        <v>48350</v>
      </c>
      <c r="D168" s="64">
        <f t="shared" ca="1" si="22"/>
        <v>2950</v>
      </c>
      <c r="E168" s="64">
        <f t="shared" ca="1" si="23"/>
        <v>8530</v>
      </c>
      <c r="F168" s="89"/>
      <c r="G168" s="89"/>
      <c r="H168" s="47" t="str">
        <f t="shared" ca="1" si="24"/>
        <v>B8DA</v>
      </c>
      <c r="I168" s="89"/>
      <c r="J168" s="47" t="str">
        <f t="shared" ca="1" si="25"/>
        <v>BCDE</v>
      </c>
      <c r="K168" s="89"/>
      <c r="L168" s="89"/>
      <c r="M168" s="47" t="str">
        <f t="shared" ca="1" si="26"/>
        <v>0B86</v>
      </c>
      <c r="N168" s="89"/>
      <c r="O168" s="47" t="str">
        <f t="shared" ca="1" si="27"/>
        <v>2152</v>
      </c>
    </row>
    <row r="169" spans="2:15">
      <c r="B169" s="48">
        <f t="shared" ca="1" si="21"/>
        <v>3587</v>
      </c>
      <c r="C169" s="49">
        <f ca="1">BitXOR(B169, $V$16)</f>
        <v>2567</v>
      </c>
      <c r="D169" s="64">
        <f t="shared" ca="1" si="22"/>
        <v>16240</v>
      </c>
      <c r="E169" s="64">
        <f t="shared" ca="1" si="23"/>
        <v>18092</v>
      </c>
      <c r="F169" s="89"/>
      <c r="G169" s="89"/>
      <c r="H169" s="47" t="str">
        <f t="shared" ca="1" si="24"/>
        <v>0E03</v>
      </c>
      <c r="I169" s="89"/>
      <c r="J169" s="47" t="str">
        <f t="shared" ca="1" si="25"/>
        <v>0A07</v>
      </c>
      <c r="K169" s="89"/>
      <c r="L169" s="89"/>
      <c r="M169" s="47" t="str">
        <f t="shared" ca="1" si="26"/>
        <v>3F70</v>
      </c>
      <c r="N169" s="89"/>
      <c r="O169" s="47" t="str">
        <f t="shared" ca="1" si="27"/>
        <v>46AC</v>
      </c>
    </row>
    <row r="170" spans="2:15">
      <c r="B170" s="48">
        <f t="shared" ca="1" si="21"/>
        <v>51270</v>
      </c>
      <c r="C170" s="49">
        <f ca="1">BitXOR(B170, $V$16)</f>
        <v>52290</v>
      </c>
      <c r="D170" s="64">
        <f t="shared" ca="1" si="22"/>
        <v>50635</v>
      </c>
      <c r="E170" s="64">
        <f t="shared" ca="1" si="23"/>
        <v>32478</v>
      </c>
      <c r="F170" s="89"/>
      <c r="G170" s="89"/>
      <c r="H170" s="47" t="str">
        <f t="shared" ca="1" si="24"/>
        <v>C846</v>
      </c>
      <c r="I170" s="89"/>
      <c r="J170" s="47" t="str">
        <f t="shared" ca="1" si="25"/>
        <v>CC42</v>
      </c>
      <c r="K170" s="89"/>
      <c r="L170" s="89"/>
      <c r="M170" s="47" t="str">
        <f t="shared" ca="1" si="26"/>
        <v>C5CB</v>
      </c>
      <c r="N170" s="89"/>
      <c r="O170" s="47" t="str">
        <f t="shared" ca="1" si="27"/>
        <v>7EDE</v>
      </c>
    </row>
    <row r="171" spans="2:15">
      <c r="B171" s="48">
        <f t="shared" ca="1" si="21"/>
        <v>7323</v>
      </c>
      <c r="C171" s="49">
        <f ca="1">BitXOR(B171, $V$16)</f>
        <v>6303</v>
      </c>
      <c r="D171" s="64">
        <f t="shared" ca="1" si="22"/>
        <v>45865</v>
      </c>
      <c r="E171" s="64">
        <f t="shared" ca="1" si="23"/>
        <v>1661</v>
      </c>
      <c r="F171" s="89"/>
      <c r="G171" s="89"/>
      <c r="H171" s="47" t="str">
        <f t="shared" ca="1" si="24"/>
        <v>1C9B</v>
      </c>
      <c r="I171" s="89"/>
      <c r="J171" s="47" t="str">
        <f t="shared" ca="1" si="25"/>
        <v>189F</v>
      </c>
      <c r="K171" s="89"/>
      <c r="L171" s="89"/>
      <c r="M171" s="47" t="str">
        <f t="shared" ca="1" si="26"/>
        <v>B329</v>
      </c>
      <c r="N171" s="89"/>
      <c r="O171" s="47" t="str">
        <f t="shared" ca="1" si="27"/>
        <v>067D</v>
      </c>
    </row>
    <row r="172" spans="2:15">
      <c r="B172" s="48">
        <f t="shared" ca="1" si="21"/>
        <v>33417</v>
      </c>
      <c r="C172" s="49">
        <f ca="1">BitXOR(B172, $V$16)</f>
        <v>34445</v>
      </c>
      <c r="D172" s="64">
        <f t="shared" ca="1" si="22"/>
        <v>9237</v>
      </c>
      <c r="E172" s="64">
        <f t="shared" ca="1" si="23"/>
        <v>6408</v>
      </c>
      <c r="F172" s="89"/>
      <c r="G172" s="89"/>
      <c r="H172" s="47" t="str">
        <f t="shared" ca="1" si="24"/>
        <v>8289</v>
      </c>
      <c r="I172" s="89"/>
      <c r="J172" s="47" t="str">
        <f t="shared" ca="1" si="25"/>
        <v>868D</v>
      </c>
      <c r="K172" s="89"/>
      <c r="L172" s="89"/>
      <c r="M172" s="47" t="str">
        <f t="shared" ca="1" si="26"/>
        <v>2415</v>
      </c>
      <c r="N172" s="89"/>
      <c r="O172" s="47" t="str">
        <f t="shared" ca="1" si="27"/>
        <v>1908</v>
      </c>
    </row>
    <row r="173" spans="2:15">
      <c r="B173" s="48">
        <f t="shared" ca="1" si="21"/>
        <v>14460</v>
      </c>
      <c r="C173" s="49">
        <f ca="1">BitXOR(B173, $V$16)</f>
        <v>15480</v>
      </c>
      <c r="D173" s="64">
        <f t="shared" ca="1" si="22"/>
        <v>64320</v>
      </c>
      <c r="E173" s="64">
        <f t="shared" ca="1" si="23"/>
        <v>34476</v>
      </c>
      <c r="F173" s="89"/>
      <c r="G173" s="89"/>
      <c r="H173" s="47" t="str">
        <f t="shared" ca="1" si="24"/>
        <v>387C</v>
      </c>
      <c r="I173" s="89"/>
      <c r="J173" s="47" t="str">
        <f t="shared" ca="1" si="25"/>
        <v>3C78</v>
      </c>
      <c r="K173" s="89"/>
      <c r="L173" s="89"/>
      <c r="M173" s="47" t="str">
        <f t="shared" ca="1" si="26"/>
        <v>FB40</v>
      </c>
      <c r="N173" s="89"/>
      <c r="O173" s="47" t="str">
        <f t="shared" ca="1" si="27"/>
        <v>86AC</v>
      </c>
    </row>
    <row r="174" spans="2:15">
      <c r="B174" s="48">
        <f t="shared" ca="1" si="21"/>
        <v>18911</v>
      </c>
      <c r="C174" s="49">
        <f ca="1">BitXOR(B174, $V$16)</f>
        <v>19931</v>
      </c>
      <c r="D174" s="64">
        <f t="shared" ca="1" si="22"/>
        <v>3220</v>
      </c>
      <c r="E174" s="64">
        <f t="shared" ca="1" si="23"/>
        <v>1551</v>
      </c>
      <c r="F174" s="89"/>
      <c r="G174" s="89"/>
      <c r="H174" s="47" t="str">
        <f t="shared" ca="1" si="24"/>
        <v>49DF</v>
      </c>
      <c r="I174" s="89"/>
      <c r="J174" s="47" t="str">
        <f t="shared" ca="1" si="25"/>
        <v>4DDB</v>
      </c>
      <c r="K174" s="89"/>
      <c r="L174" s="89"/>
      <c r="M174" s="47" t="str">
        <f t="shared" ca="1" si="26"/>
        <v>0C94</v>
      </c>
      <c r="N174" s="89"/>
      <c r="O174" s="47" t="str">
        <f t="shared" ca="1" si="27"/>
        <v>060F</v>
      </c>
    </row>
    <row r="175" spans="2:15">
      <c r="B175" s="48">
        <f t="shared" ca="1" si="21"/>
        <v>63390</v>
      </c>
      <c r="C175" s="49">
        <f ca="1">BitXOR(B175, $V$16)</f>
        <v>62362</v>
      </c>
      <c r="D175" s="64">
        <f t="shared" ca="1" si="22"/>
        <v>20371</v>
      </c>
      <c r="E175" s="64">
        <f t="shared" ca="1" si="23"/>
        <v>65276</v>
      </c>
      <c r="F175" s="89"/>
      <c r="G175" s="89"/>
      <c r="H175" s="47" t="str">
        <f t="shared" ca="1" si="24"/>
        <v>F79E</v>
      </c>
      <c r="I175" s="89"/>
      <c r="J175" s="47" t="str">
        <f t="shared" ca="1" si="25"/>
        <v>F39A</v>
      </c>
      <c r="K175" s="89"/>
      <c r="L175" s="89"/>
      <c r="M175" s="47" t="str">
        <f t="shared" ca="1" si="26"/>
        <v>4F93</v>
      </c>
      <c r="N175" s="89"/>
      <c r="O175" s="47" t="str">
        <f t="shared" ca="1" si="27"/>
        <v>FEFC</v>
      </c>
    </row>
    <row r="176" spans="2:15">
      <c r="B176" s="48">
        <f t="shared" ca="1" si="21"/>
        <v>29581</v>
      </c>
      <c r="C176" s="49">
        <f ca="1">BitXOR(B176, $V$16)</f>
        <v>30601</v>
      </c>
      <c r="D176" s="64">
        <f t="shared" ca="1" si="22"/>
        <v>2487</v>
      </c>
      <c r="E176" s="64">
        <f t="shared" ca="1" si="23"/>
        <v>11187</v>
      </c>
      <c r="F176" s="89"/>
      <c r="G176" s="89"/>
      <c r="H176" s="47" t="str">
        <f t="shared" ca="1" si="24"/>
        <v>738D</v>
      </c>
      <c r="I176" s="89"/>
      <c r="J176" s="47" t="str">
        <f t="shared" ca="1" si="25"/>
        <v>7789</v>
      </c>
      <c r="K176" s="89"/>
      <c r="L176" s="89"/>
      <c r="M176" s="47" t="str">
        <f t="shared" ca="1" si="26"/>
        <v>09B7</v>
      </c>
      <c r="N176" s="89"/>
      <c r="O176" s="47" t="str">
        <f t="shared" ca="1" si="27"/>
        <v>2BB3</v>
      </c>
    </row>
    <row r="177" spans="2:15">
      <c r="B177" s="48">
        <f t="shared" ca="1" si="21"/>
        <v>34441</v>
      </c>
      <c r="C177" s="49">
        <f ca="1">BitXOR(B177, $V$16)</f>
        <v>33421</v>
      </c>
      <c r="D177" s="64">
        <f t="shared" ca="1" si="22"/>
        <v>10838</v>
      </c>
      <c r="E177" s="64">
        <f t="shared" ca="1" si="23"/>
        <v>4389</v>
      </c>
      <c r="F177" s="89"/>
      <c r="G177" s="89"/>
      <c r="H177" s="47" t="str">
        <f t="shared" ca="1" si="24"/>
        <v>8689</v>
      </c>
      <c r="I177" s="89"/>
      <c r="J177" s="47" t="str">
        <f t="shared" ca="1" si="25"/>
        <v>828D</v>
      </c>
      <c r="K177" s="89"/>
      <c r="L177" s="89"/>
      <c r="M177" s="47" t="str">
        <f t="shared" ca="1" si="26"/>
        <v>2A56</v>
      </c>
      <c r="N177" s="89"/>
      <c r="O177" s="47" t="str">
        <f t="shared" ca="1" si="27"/>
        <v>1125</v>
      </c>
    </row>
    <row r="178" spans="2:15">
      <c r="B178" s="48">
        <f t="shared" ca="1" si="21"/>
        <v>10578</v>
      </c>
      <c r="C178" s="49">
        <f ca="1">BitXOR(B178, $V$16)</f>
        <v>11606</v>
      </c>
      <c r="D178" s="64">
        <f t="shared" ca="1" si="22"/>
        <v>32418</v>
      </c>
      <c r="E178" s="64">
        <f t="shared" ca="1" si="23"/>
        <v>3488</v>
      </c>
      <c r="F178" s="89"/>
      <c r="G178" s="89"/>
      <c r="H178" s="47" t="str">
        <f t="shared" ca="1" si="24"/>
        <v>2952</v>
      </c>
      <c r="I178" s="89"/>
      <c r="J178" s="47" t="str">
        <f t="shared" ca="1" si="25"/>
        <v>2D56</v>
      </c>
      <c r="K178" s="89"/>
      <c r="L178" s="89"/>
      <c r="M178" s="47" t="str">
        <f t="shared" ca="1" si="26"/>
        <v>7EA2</v>
      </c>
      <c r="N178" s="89"/>
      <c r="O178" s="47" t="str">
        <f t="shared" ca="1" si="27"/>
        <v>0DA0</v>
      </c>
    </row>
    <row r="179" spans="2:15">
      <c r="B179" s="48">
        <f t="shared" ca="1" si="21"/>
        <v>54848</v>
      </c>
      <c r="C179" s="49">
        <f ca="1">BitXOR(B179, $V$16)</f>
        <v>53828</v>
      </c>
      <c r="D179" s="64">
        <f t="shared" ca="1" si="22"/>
        <v>42507</v>
      </c>
      <c r="E179" s="64">
        <f t="shared" ca="1" si="23"/>
        <v>15931</v>
      </c>
      <c r="F179" s="89"/>
      <c r="G179" s="89"/>
      <c r="H179" s="47" t="str">
        <f t="shared" ca="1" si="24"/>
        <v>D640</v>
      </c>
      <c r="I179" s="89"/>
      <c r="J179" s="47" t="str">
        <f t="shared" ca="1" si="25"/>
        <v>D244</v>
      </c>
      <c r="K179" s="89"/>
      <c r="L179" s="89"/>
      <c r="M179" s="47" t="str">
        <f t="shared" ca="1" si="26"/>
        <v>A60B</v>
      </c>
      <c r="N179" s="89"/>
      <c r="O179" s="47" t="str">
        <f t="shared" ca="1" si="27"/>
        <v>3E3B</v>
      </c>
    </row>
    <row r="180" spans="2:15">
      <c r="B180" s="48">
        <f t="shared" ca="1" si="21"/>
        <v>44062</v>
      </c>
      <c r="C180" s="49">
        <f ca="1">BitXOR(B180, $V$16)</f>
        <v>43034</v>
      </c>
      <c r="D180" s="64">
        <f t="shared" ca="1" si="22"/>
        <v>20669</v>
      </c>
      <c r="E180" s="64">
        <f t="shared" ca="1" si="23"/>
        <v>24633</v>
      </c>
      <c r="F180" s="89"/>
      <c r="G180" s="89"/>
      <c r="H180" s="47" t="str">
        <f t="shared" ca="1" si="24"/>
        <v>AC1E</v>
      </c>
      <c r="I180" s="89"/>
      <c r="J180" s="47" t="str">
        <f t="shared" ca="1" si="25"/>
        <v>A81A</v>
      </c>
      <c r="K180" s="89"/>
      <c r="L180" s="89"/>
      <c r="M180" s="47" t="str">
        <f t="shared" ca="1" si="26"/>
        <v>50BD</v>
      </c>
      <c r="N180" s="89"/>
      <c r="O180" s="47" t="str">
        <f t="shared" ca="1" si="27"/>
        <v>6039</v>
      </c>
    </row>
    <row r="181" spans="2:15">
      <c r="B181" s="48">
        <f t="shared" ca="1" si="21"/>
        <v>42905</v>
      </c>
      <c r="C181" s="49">
        <f ca="1">BitXOR(B181, $V$16)</f>
        <v>41885</v>
      </c>
      <c r="D181" s="64">
        <f t="shared" ca="1" si="22"/>
        <v>225</v>
      </c>
      <c r="E181" s="64">
        <f t="shared" ca="1" si="23"/>
        <v>61665</v>
      </c>
      <c r="F181" s="89"/>
      <c r="G181" s="89"/>
      <c r="H181" s="47" t="str">
        <f t="shared" ca="1" si="24"/>
        <v>A799</v>
      </c>
      <c r="I181" s="89"/>
      <c r="J181" s="47" t="str">
        <f t="shared" ca="1" si="25"/>
        <v>A39D</v>
      </c>
      <c r="K181" s="89"/>
      <c r="L181" s="89"/>
      <c r="M181" s="47" t="str">
        <f t="shared" ca="1" si="26"/>
        <v>00E1</v>
      </c>
      <c r="N181" s="89"/>
      <c r="O181" s="47" t="str">
        <f t="shared" ca="1" si="27"/>
        <v>F0E1</v>
      </c>
    </row>
    <row r="182" spans="2:15">
      <c r="B182" s="48">
        <f t="shared" ca="1" si="21"/>
        <v>63796</v>
      </c>
      <c r="C182" s="49">
        <f ca="1">BitXOR(B182, $V$16)</f>
        <v>64816</v>
      </c>
      <c r="D182" s="64">
        <f t="shared" ca="1" si="22"/>
        <v>44205</v>
      </c>
      <c r="E182" s="64">
        <f t="shared" ca="1" si="23"/>
        <v>15683</v>
      </c>
      <c r="F182" s="89"/>
      <c r="G182" s="89"/>
      <c r="H182" s="47" t="str">
        <f t="shared" ca="1" si="24"/>
        <v>F934</v>
      </c>
      <c r="I182" s="89"/>
      <c r="J182" s="47" t="str">
        <f t="shared" ca="1" si="25"/>
        <v>FD30</v>
      </c>
      <c r="K182" s="89"/>
      <c r="L182" s="89"/>
      <c r="M182" s="47" t="str">
        <f t="shared" ca="1" si="26"/>
        <v>ACAD</v>
      </c>
      <c r="N182" s="89"/>
      <c r="O182" s="47" t="str">
        <f t="shared" ca="1" si="27"/>
        <v>3D43</v>
      </c>
    </row>
    <row r="183" spans="2:15">
      <c r="B183" s="48">
        <f t="shared" ca="1" si="21"/>
        <v>16546</v>
      </c>
      <c r="C183" s="49">
        <f ca="1">BitXOR(B183, $V$16)</f>
        <v>17574</v>
      </c>
      <c r="D183" s="64">
        <f t="shared" ca="1" si="22"/>
        <v>39914</v>
      </c>
      <c r="E183" s="64">
        <f t="shared" ca="1" si="23"/>
        <v>16991</v>
      </c>
      <c r="F183" s="89"/>
      <c r="G183" s="89"/>
      <c r="H183" s="47" t="str">
        <f t="shared" ca="1" si="24"/>
        <v>40A2</v>
      </c>
      <c r="I183" s="89"/>
      <c r="J183" s="47" t="str">
        <f t="shared" ca="1" si="25"/>
        <v>44A6</v>
      </c>
      <c r="K183" s="89"/>
      <c r="L183" s="89"/>
      <c r="M183" s="47" t="str">
        <f t="shared" ca="1" si="26"/>
        <v>9BEA</v>
      </c>
      <c r="N183" s="89"/>
      <c r="O183" s="47" t="str">
        <f t="shared" ca="1" si="27"/>
        <v>425F</v>
      </c>
    </row>
    <row r="184" spans="2:15">
      <c r="B184" s="48">
        <f t="shared" ca="1" si="21"/>
        <v>17447</v>
      </c>
      <c r="C184" s="49">
        <f ca="1">BitXOR(B184, $V$16)</f>
        <v>16419</v>
      </c>
      <c r="D184" s="64">
        <f t="shared" ca="1" si="22"/>
        <v>45486</v>
      </c>
      <c r="E184" s="64">
        <f t="shared" ca="1" si="23"/>
        <v>45546</v>
      </c>
      <c r="F184" s="89"/>
      <c r="G184" s="89"/>
      <c r="H184" s="47" t="str">
        <f t="shared" ca="1" si="24"/>
        <v>4427</v>
      </c>
      <c r="I184" s="89"/>
      <c r="J184" s="47" t="str">
        <f t="shared" ca="1" si="25"/>
        <v>4023</v>
      </c>
      <c r="K184" s="89"/>
      <c r="L184" s="89"/>
      <c r="M184" s="47" t="str">
        <f t="shared" ca="1" si="26"/>
        <v>B1AE</v>
      </c>
      <c r="N184" s="89"/>
      <c r="O184" s="47" t="str">
        <f t="shared" ca="1" si="27"/>
        <v>B1EA</v>
      </c>
    </row>
    <row r="185" spans="2:15">
      <c r="B185" s="48">
        <f t="shared" ca="1" si="21"/>
        <v>33823</v>
      </c>
      <c r="C185" s="49">
        <f ca="1">BitXOR(B185, $V$16)</f>
        <v>32795</v>
      </c>
      <c r="D185" s="64">
        <f t="shared" ca="1" si="22"/>
        <v>59059</v>
      </c>
      <c r="E185" s="64">
        <f t="shared" ca="1" si="23"/>
        <v>5433</v>
      </c>
      <c r="F185" s="89"/>
      <c r="G185" s="89"/>
      <c r="H185" s="47" t="str">
        <f t="shared" ca="1" si="24"/>
        <v>841F</v>
      </c>
      <c r="I185" s="89"/>
      <c r="J185" s="47" t="str">
        <f t="shared" ca="1" si="25"/>
        <v>801B</v>
      </c>
      <c r="K185" s="89"/>
      <c r="L185" s="89"/>
      <c r="M185" s="47" t="str">
        <f t="shared" ca="1" si="26"/>
        <v>E6B3</v>
      </c>
      <c r="N185" s="89"/>
      <c r="O185" s="47" t="str">
        <f t="shared" ca="1" si="27"/>
        <v>1539</v>
      </c>
    </row>
    <row r="186" spans="2:15">
      <c r="B186" s="48">
        <f t="shared" ca="1" si="21"/>
        <v>31976</v>
      </c>
      <c r="C186" s="49">
        <f ca="1">BitXOR(B186, $V$16)</f>
        <v>30956</v>
      </c>
      <c r="D186" s="64">
        <f t="shared" ca="1" si="22"/>
        <v>64959</v>
      </c>
      <c r="E186" s="64">
        <f t="shared" ca="1" si="23"/>
        <v>23710</v>
      </c>
      <c r="F186" s="89"/>
      <c r="G186" s="89"/>
      <c r="H186" s="47" t="str">
        <f t="shared" ca="1" si="24"/>
        <v>7CE8</v>
      </c>
      <c r="I186" s="89"/>
      <c r="J186" s="47" t="str">
        <f t="shared" ca="1" si="25"/>
        <v>78EC</v>
      </c>
      <c r="K186" s="89"/>
      <c r="L186" s="89"/>
      <c r="M186" s="47" t="str">
        <f t="shared" ca="1" si="26"/>
        <v>FDBF</v>
      </c>
      <c r="N186" s="89"/>
      <c r="O186" s="47" t="str">
        <f t="shared" ca="1" si="27"/>
        <v>5C9E</v>
      </c>
    </row>
    <row r="187" spans="2:15">
      <c r="B187" s="48">
        <f t="shared" ca="1" si="21"/>
        <v>29618</v>
      </c>
      <c r="C187" s="49">
        <f ca="1">BitXOR(B187, $V$16)</f>
        <v>30646</v>
      </c>
      <c r="D187" s="64">
        <f t="shared" ca="1" si="22"/>
        <v>14230</v>
      </c>
      <c r="E187" s="64">
        <f t="shared" ca="1" si="23"/>
        <v>33797</v>
      </c>
      <c r="F187" s="89"/>
      <c r="G187" s="89"/>
      <c r="H187" s="47" t="str">
        <f t="shared" ca="1" si="24"/>
        <v>73B2</v>
      </c>
      <c r="I187" s="89"/>
      <c r="J187" s="47" t="str">
        <f t="shared" ca="1" si="25"/>
        <v>77B6</v>
      </c>
      <c r="K187" s="89"/>
      <c r="L187" s="89"/>
      <c r="M187" s="47" t="str">
        <f t="shared" ca="1" si="26"/>
        <v>3796</v>
      </c>
      <c r="N187" s="89"/>
      <c r="O187" s="47" t="str">
        <f t="shared" ca="1" si="27"/>
        <v>8405</v>
      </c>
    </row>
    <row r="188" spans="2:15">
      <c r="B188" s="48">
        <f t="shared" ca="1" si="21"/>
        <v>20933</v>
      </c>
      <c r="C188" s="49">
        <f ca="1">BitXOR(B188, $V$16)</f>
        <v>21953</v>
      </c>
      <c r="D188" s="64">
        <f t="shared" ca="1" si="22"/>
        <v>17140</v>
      </c>
      <c r="E188" s="64">
        <f t="shared" ca="1" si="23"/>
        <v>49510</v>
      </c>
      <c r="F188" s="89"/>
      <c r="G188" s="89"/>
      <c r="H188" s="47" t="str">
        <f t="shared" ca="1" si="24"/>
        <v>51C5</v>
      </c>
      <c r="I188" s="89"/>
      <c r="J188" s="47" t="str">
        <f t="shared" ca="1" si="25"/>
        <v>55C1</v>
      </c>
      <c r="K188" s="89"/>
      <c r="L188" s="89"/>
      <c r="M188" s="47" t="str">
        <f t="shared" ca="1" si="26"/>
        <v>42F4</v>
      </c>
      <c r="N188" s="89"/>
      <c r="O188" s="47" t="str">
        <f t="shared" ca="1" si="27"/>
        <v>C166</v>
      </c>
    </row>
    <row r="189" spans="2:15">
      <c r="B189" s="48">
        <f t="shared" ca="1" si="21"/>
        <v>30681</v>
      </c>
      <c r="C189" s="49">
        <f ca="1">BitXOR(B189, $V$16)</f>
        <v>29661</v>
      </c>
      <c r="D189" s="64">
        <f t="shared" ca="1" si="22"/>
        <v>11250</v>
      </c>
      <c r="E189" s="64">
        <f t="shared" ca="1" si="23"/>
        <v>6647</v>
      </c>
      <c r="F189" s="89"/>
      <c r="G189" s="89"/>
      <c r="H189" s="47" t="str">
        <f t="shared" ca="1" si="24"/>
        <v>77D9</v>
      </c>
      <c r="I189" s="89"/>
      <c r="J189" s="47" t="str">
        <f t="shared" ca="1" si="25"/>
        <v>73DD</v>
      </c>
      <c r="K189" s="89"/>
      <c r="L189" s="89"/>
      <c r="M189" s="47" t="str">
        <f t="shared" ca="1" si="26"/>
        <v>2BF2</v>
      </c>
      <c r="N189" s="89"/>
      <c r="O189" s="47" t="str">
        <f t="shared" ca="1" si="27"/>
        <v>19F7</v>
      </c>
    </row>
    <row r="190" spans="2:15">
      <c r="B190" s="48">
        <f t="shared" ca="1" si="21"/>
        <v>6805</v>
      </c>
      <c r="C190" s="49">
        <f ca="1">BitXOR(B190, $V$16)</f>
        <v>7825</v>
      </c>
      <c r="D190" s="64">
        <f t="shared" ca="1" si="22"/>
        <v>61531</v>
      </c>
      <c r="E190" s="64">
        <f t="shared" ca="1" si="23"/>
        <v>48877</v>
      </c>
      <c r="F190" s="89"/>
      <c r="G190" s="89"/>
      <c r="H190" s="47" t="str">
        <f t="shared" ca="1" si="24"/>
        <v>1A95</v>
      </c>
      <c r="I190" s="89"/>
      <c r="J190" s="47" t="str">
        <f t="shared" ca="1" si="25"/>
        <v>1E91</v>
      </c>
      <c r="K190" s="89"/>
      <c r="L190" s="89"/>
      <c r="M190" s="47" t="str">
        <f t="shared" ca="1" si="26"/>
        <v>F05B</v>
      </c>
      <c r="N190" s="89"/>
      <c r="O190" s="47" t="str">
        <f t="shared" ca="1" si="27"/>
        <v>BEED</v>
      </c>
    </row>
    <row r="191" spans="2:15">
      <c r="B191" s="48">
        <f t="shared" ca="1" si="21"/>
        <v>13348</v>
      </c>
      <c r="C191" s="49">
        <f ca="1">BitXOR(B191, $V$16)</f>
        <v>12320</v>
      </c>
      <c r="D191" s="64">
        <f t="shared" ca="1" si="22"/>
        <v>51972</v>
      </c>
      <c r="E191" s="64">
        <f t="shared" ca="1" si="23"/>
        <v>3010</v>
      </c>
      <c r="F191" s="89"/>
      <c r="G191" s="89"/>
      <c r="H191" s="47" t="str">
        <f t="shared" ca="1" si="24"/>
        <v>3424</v>
      </c>
      <c r="I191" s="89"/>
      <c r="J191" s="47" t="str">
        <f t="shared" ca="1" si="25"/>
        <v>3020</v>
      </c>
      <c r="K191" s="89"/>
      <c r="L191" s="89"/>
      <c r="M191" s="47" t="str">
        <f t="shared" ca="1" si="26"/>
        <v>CB04</v>
      </c>
      <c r="N191" s="89"/>
      <c r="O191" s="47" t="str">
        <f t="shared" ca="1" si="27"/>
        <v>0BC2</v>
      </c>
    </row>
    <row r="192" spans="2:15">
      <c r="B192" s="48">
        <f t="shared" ca="1" si="21"/>
        <v>41934</v>
      </c>
      <c r="C192" s="49">
        <f ca="1">BitXOR(B192, $V$16)</f>
        <v>42954</v>
      </c>
      <c r="D192" s="64">
        <f t="shared" ca="1" si="22"/>
        <v>49921</v>
      </c>
      <c r="E192" s="64">
        <f t="shared" ca="1" si="23"/>
        <v>50133</v>
      </c>
      <c r="F192" s="89"/>
      <c r="G192" s="89"/>
      <c r="H192" s="47" t="str">
        <f t="shared" ca="1" si="24"/>
        <v>A3CE</v>
      </c>
      <c r="I192" s="89"/>
      <c r="J192" s="47" t="str">
        <f t="shared" ca="1" si="25"/>
        <v>A7CA</v>
      </c>
      <c r="K192" s="89"/>
      <c r="L192" s="89"/>
      <c r="M192" s="47" t="str">
        <f t="shared" ca="1" si="26"/>
        <v>C301</v>
      </c>
      <c r="N192" s="89"/>
      <c r="O192" s="47" t="str">
        <f t="shared" ca="1" si="27"/>
        <v>C3D5</v>
      </c>
    </row>
    <row r="193" spans="2:15">
      <c r="B193" s="48">
        <f t="shared" ca="1" si="21"/>
        <v>57300</v>
      </c>
      <c r="C193" s="49">
        <f ca="1">BitXOR(B193, $V$16)</f>
        <v>56272</v>
      </c>
      <c r="D193" s="64">
        <f t="shared" ca="1" si="22"/>
        <v>35480</v>
      </c>
      <c r="E193" s="64">
        <f t="shared" ca="1" si="23"/>
        <v>50441</v>
      </c>
      <c r="F193" s="89"/>
      <c r="G193" s="89"/>
      <c r="H193" s="47" t="str">
        <f t="shared" ca="1" si="24"/>
        <v>DFD4</v>
      </c>
      <c r="I193" s="89"/>
      <c r="J193" s="47" t="str">
        <f t="shared" ca="1" si="25"/>
        <v>DBD0</v>
      </c>
      <c r="K193" s="89"/>
      <c r="L193" s="89"/>
      <c r="M193" s="47" t="str">
        <f t="shared" ca="1" si="26"/>
        <v>8A98</v>
      </c>
      <c r="N193" s="89"/>
      <c r="O193" s="47" t="str">
        <f t="shared" ca="1" si="27"/>
        <v>C509</v>
      </c>
    </row>
    <row r="194" spans="2:15">
      <c r="B194" s="48">
        <f t="shared" ca="1" si="21"/>
        <v>52510</v>
      </c>
      <c r="C194" s="49">
        <f ca="1">BitXOR(B194, $V$16)</f>
        <v>51482</v>
      </c>
      <c r="D194" s="64">
        <f t="shared" ca="1" si="22"/>
        <v>1418</v>
      </c>
      <c r="E194" s="64">
        <f t="shared" ca="1" si="23"/>
        <v>2666</v>
      </c>
      <c r="F194" s="89"/>
      <c r="G194" s="89"/>
      <c r="H194" s="47" t="str">
        <f t="shared" ca="1" si="24"/>
        <v>CD1E</v>
      </c>
      <c r="I194" s="89"/>
      <c r="J194" s="47" t="str">
        <f t="shared" ca="1" si="25"/>
        <v>C91A</v>
      </c>
      <c r="K194" s="89"/>
      <c r="L194" s="89"/>
      <c r="M194" s="47" t="str">
        <f t="shared" ca="1" si="26"/>
        <v>058A</v>
      </c>
      <c r="N194" s="89"/>
      <c r="O194" s="47" t="str">
        <f t="shared" ca="1" si="27"/>
        <v>0A6A</v>
      </c>
    </row>
    <row r="195" spans="2:15">
      <c r="B195" s="48">
        <f t="shared" ca="1" si="21"/>
        <v>34472</v>
      </c>
      <c r="C195" s="49">
        <f ca="1">BitXOR(B195, $V$16)</f>
        <v>33452</v>
      </c>
      <c r="D195" s="64">
        <f t="shared" ca="1" si="22"/>
        <v>57081</v>
      </c>
      <c r="E195" s="64">
        <f t="shared" ca="1" si="23"/>
        <v>53825</v>
      </c>
      <c r="F195" s="89"/>
      <c r="G195" s="89"/>
      <c r="H195" s="47" t="str">
        <f t="shared" ca="1" si="24"/>
        <v>86A8</v>
      </c>
      <c r="I195" s="89"/>
      <c r="J195" s="47" t="str">
        <f t="shared" ca="1" si="25"/>
        <v>82AC</v>
      </c>
      <c r="K195" s="89"/>
      <c r="L195" s="89"/>
      <c r="M195" s="47" t="str">
        <f t="shared" ca="1" si="26"/>
        <v>DEF9</v>
      </c>
      <c r="N195" s="89"/>
      <c r="O195" s="47" t="str">
        <f t="shared" ca="1" si="27"/>
        <v>D241</v>
      </c>
    </row>
    <row r="196" spans="2:15">
      <c r="B196" s="48">
        <f t="shared" ca="1" si="21"/>
        <v>62411</v>
      </c>
      <c r="C196" s="49">
        <f ca="1">BitXOR(B196, $V$16)</f>
        <v>63439</v>
      </c>
      <c r="D196" s="64">
        <f t="shared" ca="1" si="22"/>
        <v>37403</v>
      </c>
      <c r="E196" s="64">
        <f t="shared" ca="1" si="23"/>
        <v>55024</v>
      </c>
      <c r="F196" s="89"/>
      <c r="G196" s="89"/>
      <c r="H196" s="47" t="str">
        <f t="shared" ca="1" si="24"/>
        <v>F3CB</v>
      </c>
      <c r="I196" s="89"/>
      <c r="J196" s="47" t="str">
        <f t="shared" ca="1" si="25"/>
        <v>F7CF</v>
      </c>
      <c r="K196" s="89"/>
      <c r="L196" s="89"/>
      <c r="M196" s="47" t="str">
        <f t="shared" ca="1" si="26"/>
        <v>921B</v>
      </c>
      <c r="N196" s="89"/>
      <c r="O196" s="47" t="str">
        <f t="shared" ca="1" si="27"/>
        <v>D6F0</v>
      </c>
    </row>
    <row r="197" spans="2:15">
      <c r="B197" s="48">
        <f t="shared" ca="1" si="21"/>
        <v>280</v>
      </c>
      <c r="C197" s="49">
        <f ca="1">BitXOR(B197, $V$16)</f>
        <v>1308</v>
      </c>
      <c r="D197" s="64">
        <f t="shared" ca="1" si="22"/>
        <v>46090</v>
      </c>
      <c r="E197" s="64">
        <f t="shared" ca="1" si="23"/>
        <v>27238</v>
      </c>
      <c r="F197" s="89"/>
      <c r="G197" s="89"/>
      <c r="H197" s="47" t="str">
        <f t="shared" ca="1" si="24"/>
        <v>0118</v>
      </c>
      <c r="I197" s="89"/>
      <c r="J197" s="47" t="str">
        <f t="shared" ca="1" si="25"/>
        <v>051C</v>
      </c>
      <c r="K197" s="89"/>
      <c r="L197" s="89"/>
      <c r="M197" s="47" t="str">
        <f t="shared" ca="1" si="26"/>
        <v>B40A</v>
      </c>
      <c r="N197" s="89"/>
      <c r="O197" s="47" t="str">
        <f t="shared" ca="1" si="27"/>
        <v>6A66</v>
      </c>
    </row>
    <row r="198" spans="2:15">
      <c r="B198" s="48">
        <f t="shared" ca="1" si="21"/>
        <v>35983</v>
      </c>
      <c r="C198" s="49">
        <f ca="1">BitXOR(B198, $V$16)</f>
        <v>34955</v>
      </c>
      <c r="D198" s="64">
        <f t="shared" ca="1" si="22"/>
        <v>38254</v>
      </c>
      <c r="E198" s="64">
        <f t="shared" ca="1" si="23"/>
        <v>30757</v>
      </c>
      <c r="F198" s="89"/>
      <c r="G198" s="89"/>
      <c r="H198" s="47" t="str">
        <f t="shared" ca="1" si="24"/>
        <v>8C8F</v>
      </c>
      <c r="I198" s="89"/>
      <c r="J198" s="47" t="str">
        <f t="shared" ca="1" si="25"/>
        <v>888B</v>
      </c>
      <c r="K198" s="89"/>
      <c r="L198" s="89"/>
      <c r="M198" s="47" t="str">
        <f t="shared" ca="1" si="26"/>
        <v>956E</v>
      </c>
      <c r="N198" s="89"/>
      <c r="O198" s="47" t="str">
        <f t="shared" ca="1" si="27"/>
        <v>7825</v>
      </c>
    </row>
    <row r="199" spans="2:15">
      <c r="B199" s="48">
        <f t="shared" ca="1" si="21"/>
        <v>2754</v>
      </c>
      <c r="C199" s="49">
        <f ca="1">BitXOR(B199, $V$16)</f>
        <v>3782</v>
      </c>
      <c r="D199" s="64">
        <f t="shared" ca="1" si="22"/>
        <v>35740</v>
      </c>
      <c r="E199" s="64">
        <f t="shared" ca="1" si="23"/>
        <v>18124</v>
      </c>
      <c r="F199" s="89"/>
      <c r="G199" s="89"/>
      <c r="H199" s="47" t="str">
        <f t="shared" ca="1" si="24"/>
        <v>0AC2</v>
      </c>
      <c r="I199" s="89"/>
      <c r="J199" s="47" t="str">
        <f t="shared" ca="1" si="25"/>
        <v>0EC6</v>
      </c>
      <c r="K199" s="89"/>
      <c r="L199" s="89"/>
      <c r="M199" s="47" t="str">
        <f t="shared" ca="1" si="26"/>
        <v>8B9C</v>
      </c>
      <c r="N199" s="89"/>
      <c r="O199" s="47" t="str">
        <f t="shared" ca="1" si="27"/>
        <v>46CC</v>
      </c>
    </row>
    <row r="200" spans="2:15">
      <c r="B200" s="48">
        <f t="shared" ca="1" si="21"/>
        <v>57534</v>
      </c>
      <c r="C200" s="49">
        <f ca="1">BitXOR(B200, $V$16)</f>
        <v>58554</v>
      </c>
      <c r="D200" s="64">
        <f t="shared" ca="1" si="22"/>
        <v>874</v>
      </c>
      <c r="E200" s="64">
        <f t="shared" ca="1" si="23"/>
        <v>51501</v>
      </c>
      <c r="F200" s="89"/>
      <c r="G200" s="89"/>
      <c r="H200" s="47" t="str">
        <f t="shared" ca="1" si="24"/>
        <v>E0BE</v>
      </c>
      <c r="I200" s="89"/>
      <c r="J200" s="47" t="str">
        <f t="shared" ca="1" si="25"/>
        <v>E4BA</v>
      </c>
      <c r="K200" s="89"/>
      <c r="L200" s="89"/>
      <c r="M200" s="47" t="str">
        <f t="shared" ca="1" si="26"/>
        <v>036A</v>
      </c>
      <c r="N200" s="89"/>
      <c r="O200" s="47" t="str">
        <f t="shared" ca="1" si="27"/>
        <v>C92D</v>
      </c>
    </row>
    <row r="201" spans="2:15">
      <c r="B201" s="48">
        <f t="shared" ca="1" si="21"/>
        <v>23572</v>
      </c>
      <c r="C201" s="49">
        <f ca="1">BitXOR(B201, $V$16)</f>
        <v>22544</v>
      </c>
      <c r="D201" s="64">
        <f t="shared" ca="1" si="22"/>
        <v>8877</v>
      </c>
      <c r="E201" s="64">
        <f t="shared" ca="1" si="23"/>
        <v>17938</v>
      </c>
      <c r="F201" s="89"/>
      <c r="G201" s="89"/>
      <c r="H201" s="47" t="str">
        <f t="shared" ca="1" si="24"/>
        <v>5C14</v>
      </c>
      <c r="I201" s="89"/>
      <c r="J201" s="47" t="str">
        <f t="shared" ca="1" si="25"/>
        <v>5810</v>
      </c>
      <c r="K201" s="89"/>
      <c r="L201" s="89"/>
      <c r="M201" s="47" t="str">
        <f t="shared" ca="1" si="26"/>
        <v>22AD</v>
      </c>
      <c r="N201" s="89"/>
      <c r="O201" s="47" t="str">
        <f t="shared" ca="1" si="27"/>
        <v>4612</v>
      </c>
    </row>
    <row r="202" spans="2:15">
      <c r="B202" s="48">
        <f t="shared" ca="1" si="21"/>
        <v>63955</v>
      </c>
      <c r="C202" s="49">
        <f ca="1">BitXOR(B202, $V$16)</f>
        <v>64983</v>
      </c>
      <c r="D202" s="64">
        <f t="shared" ca="1" si="22"/>
        <v>56049</v>
      </c>
      <c r="E202" s="64">
        <f t="shared" ca="1" si="23"/>
        <v>54563</v>
      </c>
      <c r="F202" s="89"/>
      <c r="G202" s="89"/>
      <c r="H202" s="47" t="str">
        <f t="shared" ca="1" si="24"/>
        <v>F9D3</v>
      </c>
      <c r="I202" s="89"/>
      <c r="J202" s="47" t="str">
        <f t="shared" ca="1" si="25"/>
        <v>FDD7</v>
      </c>
      <c r="K202" s="89"/>
      <c r="L202" s="89"/>
      <c r="M202" s="47" t="str">
        <f t="shared" ca="1" si="26"/>
        <v>DAF1</v>
      </c>
      <c r="N202" s="89"/>
      <c r="O202" s="47" t="str">
        <f t="shared" ca="1" si="27"/>
        <v>D523</v>
      </c>
    </row>
    <row r="203" spans="2:15">
      <c r="B203" s="48">
        <f t="shared" ca="1" si="21"/>
        <v>36583</v>
      </c>
      <c r="C203" s="49">
        <f ca="1">BitXOR(B203, $V$16)</f>
        <v>35555</v>
      </c>
      <c r="D203" s="64">
        <f t="shared" ca="1" si="22"/>
        <v>60206</v>
      </c>
      <c r="E203" s="64">
        <f t="shared" ca="1" si="23"/>
        <v>32457</v>
      </c>
      <c r="F203" s="89"/>
      <c r="G203" s="89"/>
      <c r="H203" s="47" t="str">
        <f t="shared" ca="1" si="24"/>
        <v>8EE7</v>
      </c>
      <c r="I203" s="89"/>
      <c r="J203" s="47" t="str">
        <f t="shared" ca="1" si="25"/>
        <v>8AE3</v>
      </c>
      <c r="K203" s="89"/>
      <c r="L203" s="89"/>
      <c r="M203" s="47" t="str">
        <f t="shared" ca="1" si="26"/>
        <v>EB2E</v>
      </c>
      <c r="N203" s="89"/>
      <c r="O203" s="47" t="str">
        <f t="shared" ca="1" si="27"/>
        <v>7EC9</v>
      </c>
    </row>
    <row r="204" spans="2:15">
      <c r="B204" s="48">
        <f t="shared" ca="1" si="21"/>
        <v>16202</v>
      </c>
      <c r="C204" s="49">
        <f ca="1">BitXOR(B204, $V$16)</f>
        <v>15182</v>
      </c>
      <c r="D204" s="64">
        <f t="shared" ca="1" si="22"/>
        <v>44998</v>
      </c>
      <c r="E204" s="64">
        <f t="shared" ca="1" si="23"/>
        <v>60924</v>
      </c>
      <c r="F204" s="89"/>
      <c r="G204" s="89"/>
      <c r="H204" s="47" t="str">
        <f t="shared" ca="1" si="24"/>
        <v>3F4A</v>
      </c>
      <c r="I204" s="89"/>
      <c r="J204" s="47" t="str">
        <f t="shared" ca="1" si="25"/>
        <v>3B4E</v>
      </c>
      <c r="K204" s="89"/>
      <c r="L204" s="89"/>
      <c r="M204" s="47" t="str">
        <f t="shared" ca="1" si="26"/>
        <v>AFC6</v>
      </c>
      <c r="N204" s="89"/>
      <c r="O204" s="47" t="str">
        <f t="shared" ca="1" si="27"/>
        <v>EDFC</v>
      </c>
    </row>
    <row r="205" spans="2:15">
      <c r="B205" s="48">
        <f t="shared" ca="1" si="21"/>
        <v>34718</v>
      </c>
      <c r="C205" s="49">
        <f ca="1">BitXOR(B205, $V$16)</f>
        <v>33690</v>
      </c>
      <c r="D205" s="64">
        <f t="shared" ca="1" si="22"/>
        <v>30521</v>
      </c>
      <c r="E205" s="64">
        <f t="shared" ca="1" si="23"/>
        <v>60881</v>
      </c>
      <c r="F205" s="89"/>
      <c r="G205" s="89"/>
      <c r="H205" s="47" t="str">
        <f t="shared" ca="1" si="24"/>
        <v>879E</v>
      </c>
      <c r="I205" s="89"/>
      <c r="J205" s="47" t="str">
        <f t="shared" ca="1" si="25"/>
        <v>839A</v>
      </c>
      <c r="K205" s="89"/>
      <c r="L205" s="89"/>
      <c r="M205" s="47" t="str">
        <f t="shared" ca="1" si="26"/>
        <v>7739</v>
      </c>
      <c r="N205" s="89"/>
      <c r="O205" s="47" t="str">
        <f t="shared" ca="1" si="27"/>
        <v>EDD1</v>
      </c>
    </row>
    <row r="206" spans="2:15">
      <c r="B206" s="48">
        <f t="shared" ca="1" si="21"/>
        <v>33928</v>
      </c>
      <c r="C206" s="49">
        <f ca="1">BitXOR(B206, $V$16)</f>
        <v>32908</v>
      </c>
      <c r="D206" s="64">
        <f t="shared" ca="1" si="22"/>
        <v>54569</v>
      </c>
      <c r="E206" s="64">
        <f t="shared" ca="1" si="23"/>
        <v>54953</v>
      </c>
      <c r="F206" s="89"/>
      <c r="G206" s="89"/>
      <c r="H206" s="47" t="str">
        <f t="shared" ca="1" si="24"/>
        <v>8488</v>
      </c>
      <c r="I206" s="89"/>
      <c r="J206" s="47" t="str">
        <f t="shared" ca="1" si="25"/>
        <v>808C</v>
      </c>
      <c r="K206" s="89"/>
      <c r="L206" s="89"/>
      <c r="M206" s="47" t="str">
        <f t="shared" ca="1" si="26"/>
        <v>D529</v>
      </c>
      <c r="N206" s="89"/>
      <c r="O206" s="47" t="str">
        <f t="shared" ca="1" si="27"/>
        <v>D6A9</v>
      </c>
    </row>
    <row r="207" spans="2:15">
      <c r="B207" s="48">
        <f t="shared" ca="1" si="21"/>
        <v>26867</v>
      </c>
      <c r="C207" s="49">
        <f ca="1">BitXOR(B207, $V$16)</f>
        <v>27895</v>
      </c>
      <c r="D207" s="64">
        <f t="shared" ca="1" si="22"/>
        <v>51080</v>
      </c>
      <c r="E207" s="64">
        <f t="shared" ca="1" si="23"/>
        <v>8090</v>
      </c>
      <c r="F207" s="89"/>
      <c r="G207" s="89"/>
      <c r="H207" s="47" t="str">
        <f t="shared" ca="1" si="24"/>
        <v>68F3</v>
      </c>
      <c r="I207" s="89"/>
      <c r="J207" s="47" t="str">
        <f t="shared" ca="1" si="25"/>
        <v>6CF7</v>
      </c>
      <c r="K207" s="89"/>
      <c r="L207" s="89"/>
      <c r="M207" s="47" t="str">
        <f t="shared" ca="1" si="26"/>
        <v>C788</v>
      </c>
      <c r="N207" s="89"/>
      <c r="O207" s="47" t="str">
        <f t="shared" ca="1" si="27"/>
        <v>1F9A</v>
      </c>
    </row>
    <row r="208" spans="2:15">
      <c r="B208" s="48">
        <f t="shared" ca="1" si="21"/>
        <v>57515</v>
      </c>
      <c r="C208" s="49">
        <f ca="1">BitXOR(B208, $V$16)</f>
        <v>58543</v>
      </c>
      <c r="D208" s="64">
        <f t="shared" ca="1" si="22"/>
        <v>49503</v>
      </c>
      <c r="E208" s="64">
        <f t="shared" ca="1" si="23"/>
        <v>13489</v>
      </c>
      <c r="F208" s="89"/>
      <c r="G208" s="89"/>
      <c r="H208" s="47" t="str">
        <f t="shared" ca="1" si="24"/>
        <v>E0AB</v>
      </c>
      <c r="I208" s="89"/>
      <c r="J208" s="47" t="str">
        <f t="shared" ca="1" si="25"/>
        <v>E4AF</v>
      </c>
      <c r="K208" s="89"/>
      <c r="L208" s="89"/>
      <c r="M208" s="47" t="str">
        <f t="shared" ca="1" si="26"/>
        <v>C15F</v>
      </c>
      <c r="N208" s="89"/>
      <c r="O208" s="47" t="str">
        <f t="shared" ca="1" si="27"/>
        <v>34B1</v>
      </c>
    </row>
    <row r="209" spans="2:15">
      <c r="B209" s="48">
        <f t="shared" ca="1" si="21"/>
        <v>18612</v>
      </c>
      <c r="C209" s="49">
        <f ca="1">BitXOR(B209, $V$16)</f>
        <v>19632</v>
      </c>
      <c r="D209" s="64">
        <f t="shared" ca="1" si="22"/>
        <v>17568</v>
      </c>
      <c r="E209" s="64">
        <f t="shared" ca="1" si="23"/>
        <v>18330</v>
      </c>
      <c r="F209" s="89"/>
      <c r="G209" s="89"/>
      <c r="H209" s="47" t="str">
        <f t="shared" ca="1" si="24"/>
        <v>48B4</v>
      </c>
      <c r="I209" s="89"/>
      <c r="J209" s="47" t="str">
        <f t="shared" ca="1" si="25"/>
        <v>4CB0</v>
      </c>
      <c r="K209" s="89"/>
      <c r="L209" s="89"/>
      <c r="M209" s="47" t="str">
        <f t="shared" ca="1" si="26"/>
        <v>44A0</v>
      </c>
      <c r="N209" s="89"/>
      <c r="O209" s="47" t="str">
        <f t="shared" ca="1" si="27"/>
        <v>479A</v>
      </c>
    </row>
    <row r="210" spans="2:15">
      <c r="B210" s="48">
        <f t="shared" ca="1" si="21"/>
        <v>2909</v>
      </c>
      <c r="C210" s="49">
        <f ca="1">BitXOR(B210, $V$16)</f>
        <v>3929</v>
      </c>
      <c r="D210" s="64">
        <f t="shared" ca="1" si="22"/>
        <v>35983</v>
      </c>
      <c r="E210" s="64">
        <f t="shared" ca="1" si="23"/>
        <v>11325</v>
      </c>
      <c r="F210" s="89"/>
      <c r="G210" s="89"/>
      <c r="H210" s="47" t="str">
        <f t="shared" ca="1" si="24"/>
        <v>0B5D</v>
      </c>
      <c r="I210" s="89"/>
      <c r="J210" s="47" t="str">
        <f t="shared" ca="1" si="25"/>
        <v>0F59</v>
      </c>
      <c r="K210" s="89"/>
      <c r="L210" s="89"/>
      <c r="M210" s="47" t="str">
        <f t="shared" ca="1" si="26"/>
        <v>8C8F</v>
      </c>
      <c r="N210" s="89"/>
      <c r="O210" s="47" t="str">
        <f t="shared" ca="1" si="27"/>
        <v>2C3D</v>
      </c>
    </row>
    <row r="211" spans="2:15">
      <c r="B211" s="48">
        <f t="shared" ca="1" si="21"/>
        <v>45974</v>
      </c>
      <c r="C211" s="49">
        <f ca="1">BitXOR(B211, $V$16)</f>
        <v>46994</v>
      </c>
      <c r="D211" s="64">
        <f t="shared" ca="1" si="22"/>
        <v>18581</v>
      </c>
      <c r="E211" s="64">
        <f t="shared" ca="1" si="23"/>
        <v>7327</v>
      </c>
      <c r="F211" s="89"/>
      <c r="G211" s="89"/>
      <c r="H211" s="47" t="str">
        <f t="shared" ca="1" si="24"/>
        <v>B396</v>
      </c>
      <c r="I211" s="89"/>
      <c r="J211" s="47" t="str">
        <f t="shared" ca="1" si="25"/>
        <v>B792</v>
      </c>
      <c r="K211" s="89"/>
      <c r="L211" s="89"/>
      <c r="M211" s="47" t="str">
        <f t="shared" ca="1" si="26"/>
        <v>4895</v>
      </c>
      <c r="N211" s="89"/>
      <c r="O211" s="47" t="str">
        <f t="shared" ca="1" si="27"/>
        <v>1C9F</v>
      </c>
    </row>
    <row r="212" spans="2:15">
      <c r="B212" s="48">
        <f t="shared" ca="1" si="21"/>
        <v>38853</v>
      </c>
      <c r="C212" s="49">
        <f ca="1">BitXOR(B212, $V$16)</f>
        <v>37825</v>
      </c>
      <c r="D212" s="64">
        <f t="shared" ca="1" si="22"/>
        <v>347</v>
      </c>
      <c r="E212" s="64">
        <f t="shared" ca="1" si="23"/>
        <v>51589</v>
      </c>
      <c r="F212" s="89"/>
      <c r="G212" s="89"/>
      <c r="H212" s="47" t="str">
        <f t="shared" ca="1" si="24"/>
        <v>97C5</v>
      </c>
      <c r="I212" s="89"/>
      <c r="J212" s="47" t="str">
        <f t="shared" ca="1" si="25"/>
        <v>93C1</v>
      </c>
      <c r="K212" s="89"/>
      <c r="L212" s="89"/>
      <c r="M212" s="47" t="str">
        <f t="shared" ca="1" si="26"/>
        <v>015B</v>
      </c>
      <c r="N212" s="89"/>
      <c r="O212" s="47" t="str">
        <f t="shared" ca="1" si="27"/>
        <v>C985</v>
      </c>
    </row>
    <row r="213" spans="2:15">
      <c r="B213" s="48">
        <f t="shared" ca="1" si="21"/>
        <v>52816</v>
      </c>
      <c r="C213" s="49">
        <f ca="1">BitXOR(B213, $V$16)</f>
        <v>51796</v>
      </c>
      <c r="D213" s="64">
        <f t="shared" ca="1" si="22"/>
        <v>941</v>
      </c>
      <c r="E213" s="64">
        <f t="shared" ca="1" si="23"/>
        <v>3769</v>
      </c>
      <c r="F213" s="89"/>
      <c r="G213" s="89"/>
      <c r="H213" s="47" t="str">
        <f t="shared" ca="1" si="24"/>
        <v>CE50</v>
      </c>
      <c r="I213" s="89"/>
      <c r="J213" s="47" t="str">
        <f t="shared" ca="1" si="25"/>
        <v>CA54</v>
      </c>
      <c r="K213" s="89"/>
      <c r="L213" s="89"/>
      <c r="M213" s="47" t="str">
        <f t="shared" ca="1" si="26"/>
        <v>03AD</v>
      </c>
      <c r="N213" s="89"/>
      <c r="O213" s="47" t="str">
        <f t="shared" ca="1" si="27"/>
        <v>0EB9</v>
      </c>
    </row>
    <row r="214" spans="2:15">
      <c r="B214" s="48">
        <f t="shared" ca="1" si="21"/>
        <v>43463</v>
      </c>
      <c r="C214" s="49">
        <f ca="1">BitXOR(B214, $V$16)</f>
        <v>44483</v>
      </c>
      <c r="D214" s="64">
        <f t="shared" ca="1" si="22"/>
        <v>10114</v>
      </c>
      <c r="E214" s="64">
        <f t="shared" ca="1" si="23"/>
        <v>22465</v>
      </c>
      <c r="F214" s="89"/>
      <c r="G214" s="89"/>
      <c r="H214" s="47" t="str">
        <f t="shared" ca="1" si="24"/>
        <v>A9C7</v>
      </c>
      <c r="I214" s="89"/>
      <c r="J214" s="47" t="str">
        <f t="shared" ca="1" si="25"/>
        <v>ADC3</v>
      </c>
      <c r="K214" s="89"/>
      <c r="L214" s="89"/>
      <c r="M214" s="47" t="str">
        <f t="shared" ca="1" si="26"/>
        <v>2782</v>
      </c>
      <c r="N214" s="89"/>
      <c r="O214" s="47" t="str">
        <f t="shared" ca="1" si="27"/>
        <v>57C1</v>
      </c>
    </row>
    <row r="215" spans="2:15">
      <c r="B215" s="48">
        <f t="shared" ref="B215:B278" ca="1" si="28">RANDBETWEEN(1,2^16-1)</f>
        <v>26274</v>
      </c>
      <c r="C215" s="49">
        <f ca="1">BitXOR(B215, $V$16)</f>
        <v>25254</v>
      </c>
      <c r="D215" s="64">
        <f t="shared" ca="1" si="22"/>
        <v>35860</v>
      </c>
      <c r="E215" s="64">
        <f t="shared" ca="1" si="23"/>
        <v>30789</v>
      </c>
      <c r="F215" s="89"/>
      <c r="G215" s="89"/>
      <c r="H215" s="47" t="str">
        <f t="shared" ca="1" si="24"/>
        <v>66A2</v>
      </c>
      <c r="I215" s="89"/>
      <c r="J215" s="47" t="str">
        <f t="shared" ca="1" si="25"/>
        <v>62A6</v>
      </c>
      <c r="K215" s="89"/>
      <c r="L215" s="89"/>
      <c r="M215" s="47" t="str">
        <f t="shared" ca="1" si="26"/>
        <v>8C14</v>
      </c>
      <c r="N215" s="89"/>
      <c r="O215" s="47" t="str">
        <f t="shared" ca="1" si="27"/>
        <v>7845</v>
      </c>
    </row>
    <row r="216" spans="2:15">
      <c r="B216" s="48">
        <f t="shared" ca="1" si="28"/>
        <v>11504</v>
      </c>
      <c r="C216" s="49">
        <f ca="1">BitXOR(B216, $V$16)</f>
        <v>10484</v>
      </c>
      <c r="D216" s="64">
        <f t="shared" ca="1" si="22"/>
        <v>58306</v>
      </c>
      <c r="E216" s="64">
        <f t="shared" ca="1" si="23"/>
        <v>39618</v>
      </c>
      <c r="F216" s="89"/>
      <c r="G216" s="89"/>
      <c r="H216" s="47" t="str">
        <f t="shared" ca="1" si="24"/>
        <v>2CF0</v>
      </c>
      <c r="I216" s="89"/>
      <c r="J216" s="47" t="str">
        <f t="shared" ca="1" si="25"/>
        <v>28F4</v>
      </c>
      <c r="K216" s="89"/>
      <c r="L216" s="89"/>
      <c r="M216" s="47" t="str">
        <f t="shared" ca="1" si="26"/>
        <v>E3C2</v>
      </c>
      <c r="N216" s="89"/>
      <c r="O216" s="47" t="str">
        <f t="shared" ca="1" si="27"/>
        <v>9AC2</v>
      </c>
    </row>
    <row r="217" spans="2:15">
      <c r="B217" s="48">
        <f t="shared" ca="1" si="28"/>
        <v>12204</v>
      </c>
      <c r="C217" s="49">
        <f ca="1">BitXOR(B217, $V$16)</f>
        <v>11176</v>
      </c>
      <c r="D217" s="64">
        <f t="shared" ca="1" si="22"/>
        <v>36951</v>
      </c>
      <c r="E217" s="64">
        <f t="shared" ca="1" si="23"/>
        <v>37378</v>
      </c>
      <c r="F217" s="89"/>
      <c r="G217" s="89"/>
      <c r="H217" s="47" t="str">
        <f t="shared" ca="1" si="24"/>
        <v>2FAC</v>
      </c>
      <c r="I217" s="89"/>
      <c r="J217" s="47" t="str">
        <f t="shared" ca="1" si="25"/>
        <v>2BA8</v>
      </c>
      <c r="K217" s="89"/>
      <c r="L217" s="89"/>
      <c r="M217" s="47" t="str">
        <f t="shared" ca="1" si="26"/>
        <v>9057</v>
      </c>
      <c r="N217" s="89"/>
      <c r="O217" s="47" t="str">
        <f t="shared" ca="1" si="27"/>
        <v>9202</v>
      </c>
    </row>
    <row r="218" spans="2:15">
      <c r="B218" s="48">
        <f t="shared" ca="1" si="28"/>
        <v>36270</v>
      </c>
      <c r="C218" s="49">
        <f ca="1">BitXOR(B218, $V$16)</f>
        <v>35242</v>
      </c>
      <c r="D218" s="64">
        <f t="shared" ca="1" si="22"/>
        <v>22329</v>
      </c>
      <c r="E218" s="64">
        <f t="shared" ca="1" si="23"/>
        <v>23881</v>
      </c>
      <c r="F218" s="89"/>
      <c r="G218" s="89"/>
      <c r="H218" s="47" t="str">
        <f t="shared" ca="1" si="24"/>
        <v>8DAE</v>
      </c>
      <c r="I218" s="89"/>
      <c r="J218" s="47" t="str">
        <f t="shared" ca="1" si="25"/>
        <v>89AA</v>
      </c>
      <c r="K218" s="89"/>
      <c r="L218" s="89"/>
      <c r="M218" s="47" t="str">
        <f t="shared" ca="1" si="26"/>
        <v>5739</v>
      </c>
      <c r="N218" s="89"/>
      <c r="O218" s="47" t="str">
        <f t="shared" ca="1" si="27"/>
        <v>5D49</v>
      </c>
    </row>
    <row r="219" spans="2:15">
      <c r="B219" s="48">
        <f t="shared" ca="1" si="28"/>
        <v>4728</v>
      </c>
      <c r="C219" s="49">
        <f ca="1">BitXOR(B219, $V$16)</f>
        <v>5756</v>
      </c>
      <c r="D219" s="64">
        <f t="shared" ca="1" si="22"/>
        <v>53277</v>
      </c>
      <c r="E219" s="64">
        <f t="shared" ca="1" si="23"/>
        <v>40477</v>
      </c>
      <c r="F219" s="89"/>
      <c r="G219" s="89"/>
      <c r="H219" s="47" t="str">
        <f t="shared" ca="1" si="24"/>
        <v>1278</v>
      </c>
      <c r="I219" s="89"/>
      <c r="J219" s="47" t="str">
        <f t="shared" ca="1" si="25"/>
        <v>167C</v>
      </c>
      <c r="K219" s="89"/>
      <c r="L219" s="89"/>
      <c r="M219" s="47" t="str">
        <f t="shared" ca="1" si="26"/>
        <v>D01D</v>
      </c>
      <c r="N219" s="89"/>
      <c r="O219" s="47" t="str">
        <f t="shared" ca="1" si="27"/>
        <v>9E1D</v>
      </c>
    </row>
    <row r="220" spans="2:15">
      <c r="B220" s="48">
        <f t="shared" ca="1" si="28"/>
        <v>56296</v>
      </c>
      <c r="C220" s="49">
        <f ca="1">BitXOR(B220, $V$16)</f>
        <v>57324</v>
      </c>
      <c r="D220" s="64">
        <f t="shared" ca="1" si="22"/>
        <v>34510</v>
      </c>
      <c r="E220" s="64">
        <f t="shared" ca="1" si="23"/>
        <v>65317</v>
      </c>
      <c r="F220" s="89"/>
      <c r="G220" s="89"/>
      <c r="H220" s="47" t="str">
        <f t="shared" ca="1" si="24"/>
        <v>DBE8</v>
      </c>
      <c r="I220" s="89"/>
      <c r="J220" s="47" t="str">
        <f t="shared" ca="1" si="25"/>
        <v>DFEC</v>
      </c>
      <c r="K220" s="89"/>
      <c r="L220" s="89"/>
      <c r="M220" s="47" t="str">
        <f t="shared" ca="1" si="26"/>
        <v>86CE</v>
      </c>
      <c r="N220" s="89"/>
      <c r="O220" s="47" t="str">
        <f t="shared" ca="1" si="27"/>
        <v>FF25</v>
      </c>
    </row>
    <row r="221" spans="2:15">
      <c r="B221" s="48">
        <f t="shared" ca="1" si="28"/>
        <v>48240</v>
      </c>
      <c r="C221" s="49">
        <f ca="1">BitXOR(B221, $V$16)</f>
        <v>47220</v>
      </c>
      <c r="D221" s="64">
        <f t="shared" ca="1" si="22"/>
        <v>56638</v>
      </c>
      <c r="E221" s="64">
        <f t="shared" ca="1" si="23"/>
        <v>32530</v>
      </c>
      <c r="F221" s="89"/>
      <c r="G221" s="89"/>
      <c r="H221" s="47" t="str">
        <f t="shared" ca="1" si="24"/>
        <v>BC70</v>
      </c>
      <c r="I221" s="89"/>
      <c r="J221" s="47" t="str">
        <f t="shared" ca="1" si="25"/>
        <v>B874</v>
      </c>
      <c r="K221" s="89"/>
      <c r="L221" s="89"/>
      <c r="M221" s="47" t="str">
        <f t="shared" ca="1" si="26"/>
        <v>DD3E</v>
      </c>
      <c r="N221" s="89"/>
      <c r="O221" s="47" t="str">
        <f t="shared" ca="1" si="27"/>
        <v>7F12</v>
      </c>
    </row>
    <row r="222" spans="2:15">
      <c r="B222" s="48">
        <f t="shared" ca="1" si="28"/>
        <v>15174</v>
      </c>
      <c r="C222" s="49">
        <f ca="1">BitXOR(B222, $V$16)</f>
        <v>16194</v>
      </c>
      <c r="D222" s="64">
        <f t="shared" ca="1" si="22"/>
        <v>11468</v>
      </c>
      <c r="E222" s="64">
        <f t="shared" ca="1" si="23"/>
        <v>53396</v>
      </c>
      <c r="F222" s="89"/>
      <c r="G222" s="89"/>
      <c r="H222" s="47" t="str">
        <f t="shared" ca="1" si="24"/>
        <v>3B46</v>
      </c>
      <c r="I222" s="89"/>
      <c r="J222" s="47" t="str">
        <f t="shared" ca="1" si="25"/>
        <v>3F42</v>
      </c>
      <c r="K222" s="89"/>
      <c r="L222" s="89"/>
      <c r="M222" s="47" t="str">
        <f t="shared" ca="1" si="26"/>
        <v>2CCC</v>
      </c>
      <c r="N222" s="89"/>
      <c r="O222" s="47" t="str">
        <f t="shared" ca="1" si="27"/>
        <v>D094</v>
      </c>
    </row>
    <row r="223" spans="2:15">
      <c r="B223" s="48">
        <f t="shared" ca="1" si="28"/>
        <v>27449</v>
      </c>
      <c r="C223" s="49">
        <f ca="1">BitXOR(B223, $V$16)</f>
        <v>28477</v>
      </c>
      <c r="D223" s="64">
        <f t="shared" ca="1" si="22"/>
        <v>48533</v>
      </c>
      <c r="E223" s="64">
        <f t="shared" ca="1" si="23"/>
        <v>62015</v>
      </c>
      <c r="F223" s="89"/>
      <c r="G223" s="89"/>
      <c r="H223" s="47" t="str">
        <f t="shared" ca="1" si="24"/>
        <v>6B39</v>
      </c>
      <c r="I223" s="89"/>
      <c r="J223" s="47" t="str">
        <f t="shared" ca="1" si="25"/>
        <v>6F3D</v>
      </c>
      <c r="K223" s="89"/>
      <c r="L223" s="89"/>
      <c r="M223" s="47" t="str">
        <f t="shared" ca="1" si="26"/>
        <v>BD95</v>
      </c>
      <c r="N223" s="89"/>
      <c r="O223" s="47" t="str">
        <f t="shared" ca="1" si="27"/>
        <v>F23F</v>
      </c>
    </row>
    <row r="224" spans="2:15">
      <c r="B224" s="48">
        <f t="shared" ca="1" si="28"/>
        <v>10814</v>
      </c>
      <c r="C224" s="49">
        <f ca="1">BitXOR(B224, $V$16)</f>
        <v>11834</v>
      </c>
      <c r="D224" s="64">
        <f t="shared" ca="1" si="22"/>
        <v>21331</v>
      </c>
      <c r="E224" s="64">
        <f t="shared" ca="1" si="23"/>
        <v>37986</v>
      </c>
      <c r="F224" s="89"/>
      <c r="G224" s="89"/>
      <c r="H224" s="47" t="str">
        <f t="shared" ca="1" si="24"/>
        <v>2A3E</v>
      </c>
      <c r="I224" s="89"/>
      <c r="J224" s="47" t="str">
        <f t="shared" ca="1" si="25"/>
        <v>2E3A</v>
      </c>
      <c r="K224" s="89"/>
      <c r="L224" s="89"/>
      <c r="M224" s="47" t="str">
        <f t="shared" ca="1" si="26"/>
        <v>5353</v>
      </c>
      <c r="N224" s="89"/>
      <c r="O224" s="47" t="str">
        <f t="shared" ca="1" si="27"/>
        <v>9462</v>
      </c>
    </row>
    <row r="225" spans="2:15">
      <c r="B225" s="48">
        <f t="shared" ca="1" si="28"/>
        <v>6011</v>
      </c>
      <c r="C225" s="49">
        <f ca="1">BitXOR(B225, $V$16)</f>
        <v>4991</v>
      </c>
      <c r="D225" s="64">
        <f t="shared" ca="1" si="22"/>
        <v>64368</v>
      </c>
      <c r="E225" s="64">
        <f t="shared" ca="1" si="23"/>
        <v>1408</v>
      </c>
      <c r="F225" s="89"/>
      <c r="G225" s="89"/>
      <c r="H225" s="47" t="str">
        <f t="shared" ca="1" si="24"/>
        <v>177B</v>
      </c>
      <c r="I225" s="89"/>
      <c r="J225" s="47" t="str">
        <f t="shared" ca="1" si="25"/>
        <v>137F</v>
      </c>
      <c r="K225" s="89"/>
      <c r="L225" s="89"/>
      <c r="M225" s="47" t="str">
        <f t="shared" ca="1" si="26"/>
        <v>FB70</v>
      </c>
      <c r="N225" s="89"/>
      <c r="O225" s="47" t="str">
        <f t="shared" ca="1" si="27"/>
        <v>0580</v>
      </c>
    </row>
    <row r="226" spans="2:15">
      <c r="B226" s="48">
        <f t="shared" ca="1" si="28"/>
        <v>16513</v>
      </c>
      <c r="C226" s="49">
        <f ca="1">BitXOR(B226, $V$16)</f>
        <v>17541</v>
      </c>
      <c r="D226" s="64">
        <f t="shared" ca="1" si="22"/>
        <v>15192</v>
      </c>
      <c r="E226" s="64">
        <f t="shared" ca="1" si="23"/>
        <v>28537</v>
      </c>
      <c r="F226" s="89"/>
      <c r="G226" s="89"/>
      <c r="H226" s="47" t="str">
        <f t="shared" ca="1" si="24"/>
        <v>4081</v>
      </c>
      <c r="I226" s="89"/>
      <c r="J226" s="47" t="str">
        <f t="shared" ca="1" si="25"/>
        <v>4485</v>
      </c>
      <c r="K226" s="89"/>
      <c r="L226" s="89"/>
      <c r="M226" s="47" t="str">
        <f t="shared" ca="1" si="26"/>
        <v>3B58</v>
      </c>
      <c r="N226" s="89"/>
      <c r="O226" s="47" t="str">
        <f t="shared" ca="1" si="27"/>
        <v>6F79</v>
      </c>
    </row>
    <row r="227" spans="2:15">
      <c r="B227" s="48">
        <f t="shared" ca="1" si="28"/>
        <v>29812</v>
      </c>
      <c r="C227" s="49">
        <f ca="1">BitXOR(B227, $V$16)</f>
        <v>28784</v>
      </c>
      <c r="D227" s="64">
        <f t="shared" ca="1" si="22"/>
        <v>34888</v>
      </c>
      <c r="E227" s="64">
        <f t="shared" ca="1" si="23"/>
        <v>30666</v>
      </c>
      <c r="F227" s="89"/>
      <c r="G227" s="89"/>
      <c r="H227" s="47" t="str">
        <f t="shared" ca="1" si="24"/>
        <v>7474</v>
      </c>
      <c r="I227" s="89"/>
      <c r="J227" s="47" t="str">
        <f t="shared" ca="1" si="25"/>
        <v>7070</v>
      </c>
      <c r="K227" s="89"/>
      <c r="L227" s="89"/>
      <c r="M227" s="47" t="str">
        <f t="shared" ca="1" si="26"/>
        <v>8848</v>
      </c>
      <c r="N227" s="89"/>
      <c r="O227" s="47" t="str">
        <f t="shared" ca="1" si="27"/>
        <v>77CA</v>
      </c>
    </row>
    <row r="228" spans="2:15">
      <c r="B228" s="48">
        <f t="shared" ca="1" si="28"/>
        <v>7497</v>
      </c>
      <c r="C228" s="49">
        <f ca="1">BitXOR(B228, $V$16)</f>
        <v>6477</v>
      </c>
      <c r="D228" s="64">
        <f t="shared" ca="1" si="22"/>
        <v>28118</v>
      </c>
      <c r="E228" s="64">
        <f t="shared" ca="1" si="23"/>
        <v>46976</v>
      </c>
      <c r="F228" s="89"/>
      <c r="G228" s="89"/>
      <c r="H228" s="47" t="str">
        <f t="shared" ca="1" si="24"/>
        <v>1D49</v>
      </c>
      <c r="I228" s="89"/>
      <c r="J228" s="47" t="str">
        <f t="shared" ca="1" si="25"/>
        <v>194D</v>
      </c>
      <c r="K228" s="89"/>
      <c r="L228" s="89"/>
      <c r="M228" s="47" t="str">
        <f t="shared" ca="1" si="26"/>
        <v>6DD6</v>
      </c>
      <c r="N228" s="89"/>
      <c r="O228" s="47" t="str">
        <f t="shared" ca="1" si="27"/>
        <v>B780</v>
      </c>
    </row>
    <row r="229" spans="2:15">
      <c r="B229" s="48">
        <f t="shared" ca="1" si="28"/>
        <v>59675</v>
      </c>
      <c r="C229" s="49">
        <f ca="1">BitXOR(B229, $V$16)</f>
        <v>60703</v>
      </c>
      <c r="D229" s="64">
        <f t="shared" ref="D229:D292" ca="1" si="29">Encrypt(B229, $D$2:$S$3, $D$6:$S$7, $V$10,$V$11,$V$12,$W$10,$W$11)</f>
        <v>756</v>
      </c>
      <c r="E229" s="64">
        <f t="shared" ref="E229:E292" ca="1" si="30">Encrypt(C229, $D$2:$S$3, $D$6:$S$7, $V$10,$V$11,$V$12,$W$10,$W$11)</f>
        <v>39923</v>
      </c>
      <c r="F229" s="89"/>
      <c r="G229" s="89"/>
      <c r="H229" s="47" t="str">
        <f t="shared" ref="H229:H292" ca="1" si="31">DEC2HEX(B229,4)</f>
        <v>E91B</v>
      </c>
      <c r="I229" s="89"/>
      <c r="J229" s="47" t="str">
        <f t="shared" ref="J229:J292" ca="1" si="32">DEC2HEX(C229,4)</f>
        <v>ED1F</v>
      </c>
      <c r="K229" s="89"/>
      <c r="L229" s="89"/>
      <c r="M229" s="47" t="str">
        <f t="shared" ref="M229:M292" ca="1" si="33">DEC2HEX(D229,4)</f>
        <v>02F4</v>
      </c>
      <c r="N229" s="89"/>
      <c r="O229" s="47" t="str">
        <f t="shared" ref="O229:O292" ca="1" si="34">DEC2HEX(E229,4)</f>
        <v>9BF3</v>
      </c>
    </row>
    <row r="230" spans="2:15">
      <c r="B230" s="48">
        <f t="shared" ca="1" si="28"/>
        <v>12158</v>
      </c>
      <c r="C230" s="49">
        <f ca="1">BitXOR(B230, $V$16)</f>
        <v>11130</v>
      </c>
      <c r="D230" s="64">
        <f t="shared" ca="1" si="29"/>
        <v>32051</v>
      </c>
      <c r="E230" s="64">
        <f t="shared" ca="1" si="30"/>
        <v>12499</v>
      </c>
      <c r="F230" s="89"/>
      <c r="G230" s="89"/>
      <c r="H230" s="47" t="str">
        <f t="shared" ca="1" si="31"/>
        <v>2F7E</v>
      </c>
      <c r="I230" s="89"/>
      <c r="J230" s="47" t="str">
        <f t="shared" ca="1" si="32"/>
        <v>2B7A</v>
      </c>
      <c r="K230" s="89"/>
      <c r="L230" s="89"/>
      <c r="M230" s="47" t="str">
        <f t="shared" ca="1" si="33"/>
        <v>7D33</v>
      </c>
      <c r="N230" s="89"/>
      <c r="O230" s="47" t="str">
        <f t="shared" ca="1" si="34"/>
        <v>30D3</v>
      </c>
    </row>
    <row r="231" spans="2:15">
      <c r="B231" s="48">
        <f t="shared" ca="1" si="28"/>
        <v>52123</v>
      </c>
      <c r="C231" s="49">
        <f ca="1">BitXOR(B231, $V$16)</f>
        <v>53151</v>
      </c>
      <c r="D231" s="64">
        <f t="shared" ca="1" si="29"/>
        <v>3030</v>
      </c>
      <c r="E231" s="64">
        <f t="shared" ca="1" si="30"/>
        <v>13709</v>
      </c>
      <c r="F231" s="89"/>
      <c r="G231" s="89"/>
      <c r="H231" s="47" t="str">
        <f t="shared" ca="1" si="31"/>
        <v>CB9B</v>
      </c>
      <c r="I231" s="89"/>
      <c r="J231" s="47" t="str">
        <f t="shared" ca="1" si="32"/>
        <v>CF9F</v>
      </c>
      <c r="K231" s="89"/>
      <c r="L231" s="89"/>
      <c r="M231" s="47" t="str">
        <f t="shared" ca="1" si="33"/>
        <v>0BD6</v>
      </c>
      <c r="N231" s="89"/>
      <c r="O231" s="47" t="str">
        <f t="shared" ca="1" si="34"/>
        <v>358D</v>
      </c>
    </row>
    <row r="232" spans="2:15">
      <c r="B232" s="48">
        <f t="shared" ca="1" si="28"/>
        <v>27387</v>
      </c>
      <c r="C232" s="49">
        <f ca="1">BitXOR(B232, $V$16)</f>
        <v>28415</v>
      </c>
      <c r="D232" s="64">
        <f t="shared" ca="1" si="29"/>
        <v>38443</v>
      </c>
      <c r="E232" s="64">
        <f t="shared" ca="1" si="30"/>
        <v>58041</v>
      </c>
      <c r="F232" s="89"/>
      <c r="G232" s="89"/>
      <c r="H232" s="47" t="str">
        <f t="shared" ca="1" si="31"/>
        <v>6AFB</v>
      </c>
      <c r="I232" s="89"/>
      <c r="J232" s="47" t="str">
        <f t="shared" ca="1" si="32"/>
        <v>6EFF</v>
      </c>
      <c r="K232" s="89"/>
      <c r="L232" s="89"/>
      <c r="M232" s="47" t="str">
        <f t="shared" ca="1" si="33"/>
        <v>962B</v>
      </c>
      <c r="N232" s="89"/>
      <c r="O232" s="47" t="str">
        <f t="shared" ca="1" si="34"/>
        <v>E2B9</v>
      </c>
    </row>
    <row r="233" spans="2:15">
      <c r="B233" s="48">
        <f t="shared" ca="1" si="28"/>
        <v>14380</v>
      </c>
      <c r="C233" s="49">
        <f ca="1">BitXOR(B233, $V$16)</f>
        <v>15400</v>
      </c>
      <c r="D233" s="64">
        <f t="shared" ca="1" si="29"/>
        <v>64256</v>
      </c>
      <c r="E233" s="64">
        <f t="shared" ca="1" si="30"/>
        <v>23357</v>
      </c>
      <c r="F233" s="89"/>
      <c r="G233" s="89"/>
      <c r="H233" s="47" t="str">
        <f t="shared" ca="1" si="31"/>
        <v>382C</v>
      </c>
      <c r="I233" s="89"/>
      <c r="J233" s="47" t="str">
        <f t="shared" ca="1" si="32"/>
        <v>3C28</v>
      </c>
      <c r="K233" s="89"/>
      <c r="L233" s="89"/>
      <c r="M233" s="47" t="str">
        <f t="shared" ca="1" si="33"/>
        <v>FB00</v>
      </c>
      <c r="N233" s="89"/>
      <c r="O233" s="47" t="str">
        <f t="shared" ca="1" si="34"/>
        <v>5B3D</v>
      </c>
    </row>
    <row r="234" spans="2:15">
      <c r="B234" s="48">
        <f t="shared" ca="1" si="28"/>
        <v>59501</v>
      </c>
      <c r="C234" s="49">
        <f ca="1">BitXOR(B234, $V$16)</f>
        <v>60521</v>
      </c>
      <c r="D234" s="64">
        <f t="shared" ca="1" si="29"/>
        <v>46457</v>
      </c>
      <c r="E234" s="64">
        <f t="shared" ca="1" si="30"/>
        <v>27102</v>
      </c>
      <c r="F234" s="89"/>
      <c r="G234" s="89"/>
      <c r="H234" s="47" t="str">
        <f t="shared" ca="1" si="31"/>
        <v>E86D</v>
      </c>
      <c r="I234" s="89"/>
      <c r="J234" s="47" t="str">
        <f t="shared" ca="1" si="32"/>
        <v>EC69</v>
      </c>
      <c r="K234" s="89"/>
      <c r="L234" s="89"/>
      <c r="M234" s="47" t="str">
        <f t="shared" ca="1" si="33"/>
        <v>B579</v>
      </c>
      <c r="N234" s="89"/>
      <c r="O234" s="47" t="str">
        <f t="shared" ca="1" si="34"/>
        <v>69DE</v>
      </c>
    </row>
    <row r="235" spans="2:15">
      <c r="B235" s="48">
        <f t="shared" ca="1" si="28"/>
        <v>48736</v>
      </c>
      <c r="C235" s="49">
        <f ca="1">BitXOR(B235, $V$16)</f>
        <v>47716</v>
      </c>
      <c r="D235" s="64">
        <f t="shared" ca="1" si="29"/>
        <v>64170</v>
      </c>
      <c r="E235" s="64">
        <f t="shared" ca="1" si="30"/>
        <v>26142</v>
      </c>
      <c r="F235" s="89"/>
      <c r="G235" s="89"/>
      <c r="H235" s="47" t="str">
        <f t="shared" ca="1" si="31"/>
        <v>BE60</v>
      </c>
      <c r="I235" s="89"/>
      <c r="J235" s="47" t="str">
        <f t="shared" ca="1" si="32"/>
        <v>BA64</v>
      </c>
      <c r="K235" s="89"/>
      <c r="L235" s="89"/>
      <c r="M235" s="47" t="str">
        <f t="shared" ca="1" si="33"/>
        <v>FAAA</v>
      </c>
      <c r="N235" s="89"/>
      <c r="O235" s="47" t="str">
        <f t="shared" ca="1" si="34"/>
        <v>661E</v>
      </c>
    </row>
    <row r="236" spans="2:15">
      <c r="B236" s="48">
        <f t="shared" ca="1" si="28"/>
        <v>49733</v>
      </c>
      <c r="C236" s="49">
        <f ca="1">BitXOR(B236, $V$16)</f>
        <v>50753</v>
      </c>
      <c r="D236" s="64">
        <f t="shared" ca="1" si="29"/>
        <v>13995</v>
      </c>
      <c r="E236" s="64">
        <f t="shared" ca="1" si="30"/>
        <v>62906</v>
      </c>
      <c r="F236" s="89"/>
      <c r="G236" s="89"/>
      <c r="H236" s="47" t="str">
        <f t="shared" ca="1" si="31"/>
        <v>C245</v>
      </c>
      <c r="I236" s="89"/>
      <c r="J236" s="47" t="str">
        <f t="shared" ca="1" si="32"/>
        <v>C641</v>
      </c>
      <c r="K236" s="89"/>
      <c r="L236" s="89"/>
      <c r="M236" s="47" t="str">
        <f t="shared" ca="1" si="33"/>
        <v>36AB</v>
      </c>
      <c r="N236" s="89"/>
      <c r="O236" s="47" t="str">
        <f t="shared" ca="1" si="34"/>
        <v>F5BA</v>
      </c>
    </row>
    <row r="237" spans="2:15">
      <c r="B237" s="48">
        <f t="shared" ca="1" si="28"/>
        <v>49846</v>
      </c>
      <c r="C237" s="49">
        <f ca="1">BitXOR(B237, $V$16)</f>
        <v>50866</v>
      </c>
      <c r="D237" s="64">
        <f t="shared" ca="1" si="29"/>
        <v>37942</v>
      </c>
      <c r="E237" s="64">
        <f t="shared" ca="1" si="30"/>
        <v>56484</v>
      </c>
      <c r="F237" s="89"/>
      <c r="G237" s="89"/>
      <c r="H237" s="47" t="str">
        <f t="shared" ca="1" si="31"/>
        <v>C2B6</v>
      </c>
      <c r="I237" s="89"/>
      <c r="J237" s="47" t="str">
        <f t="shared" ca="1" si="32"/>
        <v>C6B2</v>
      </c>
      <c r="K237" s="89"/>
      <c r="L237" s="89"/>
      <c r="M237" s="47" t="str">
        <f t="shared" ca="1" si="33"/>
        <v>9436</v>
      </c>
      <c r="N237" s="89"/>
      <c r="O237" s="47" t="str">
        <f t="shared" ca="1" si="34"/>
        <v>DCA4</v>
      </c>
    </row>
    <row r="238" spans="2:15">
      <c r="B238" s="48">
        <f t="shared" ca="1" si="28"/>
        <v>11327</v>
      </c>
      <c r="C238" s="49">
        <f ca="1">BitXOR(B238, $V$16)</f>
        <v>10299</v>
      </c>
      <c r="D238" s="64">
        <f t="shared" ca="1" si="29"/>
        <v>56157</v>
      </c>
      <c r="E238" s="64">
        <f t="shared" ca="1" si="30"/>
        <v>38029</v>
      </c>
      <c r="F238" s="89"/>
      <c r="G238" s="89"/>
      <c r="H238" s="47" t="str">
        <f t="shared" ca="1" si="31"/>
        <v>2C3F</v>
      </c>
      <c r="I238" s="89"/>
      <c r="J238" s="47" t="str">
        <f t="shared" ca="1" si="32"/>
        <v>283B</v>
      </c>
      <c r="K238" s="89"/>
      <c r="L238" s="89"/>
      <c r="M238" s="47" t="str">
        <f t="shared" ca="1" si="33"/>
        <v>DB5D</v>
      </c>
      <c r="N238" s="89"/>
      <c r="O238" s="47" t="str">
        <f t="shared" ca="1" si="34"/>
        <v>948D</v>
      </c>
    </row>
    <row r="239" spans="2:15">
      <c r="B239" s="48">
        <f t="shared" ca="1" si="28"/>
        <v>47562</v>
      </c>
      <c r="C239" s="49">
        <f ca="1">BitXOR(B239, $V$16)</f>
        <v>48590</v>
      </c>
      <c r="D239" s="64">
        <f t="shared" ca="1" si="29"/>
        <v>7005</v>
      </c>
      <c r="E239" s="64">
        <f t="shared" ca="1" si="30"/>
        <v>7026</v>
      </c>
      <c r="F239" s="89"/>
      <c r="G239" s="89"/>
      <c r="H239" s="47" t="str">
        <f t="shared" ca="1" si="31"/>
        <v>B9CA</v>
      </c>
      <c r="I239" s="89"/>
      <c r="J239" s="47" t="str">
        <f t="shared" ca="1" si="32"/>
        <v>BDCE</v>
      </c>
      <c r="K239" s="89"/>
      <c r="L239" s="89"/>
      <c r="M239" s="47" t="str">
        <f t="shared" ca="1" si="33"/>
        <v>1B5D</v>
      </c>
      <c r="N239" s="89"/>
      <c r="O239" s="47" t="str">
        <f t="shared" ca="1" si="34"/>
        <v>1B72</v>
      </c>
    </row>
    <row r="240" spans="2:15">
      <c r="B240" s="48">
        <f t="shared" ca="1" si="28"/>
        <v>57073</v>
      </c>
      <c r="C240" s="49">
        <f ca="1">BitXOR(B240, $V$16)</f>
        <v>56053</v>
      </c>
      <c r="D240" s="64">
        <f t="shared" ca="1" si="29"/>
        <v>52682</v>
      </c>
      <c r="E240" s="64">
        <f t="shared" ca="1" si="30"/>
        <v>4491</v>
      </c>
      <c r="F240" s="89"/>
      <c r="G240" s="89"/>
      <c r="H240" s="47" t="str">
        <f t="shared" ca="1" si="31"/>
        <v>DEF1</v>
      </c>
      <c r="I240" s="89"/>
      <c r="J240" s="47" t="str">
        <f t="shared" ca="1" si="32"/>
        <v>DAF5</v>
      </c>
      <c r="K240" s="89"/>
      <c r="L240" s="89"/>
      <c r="M240" s="47" t="str">
        <f t="shared" ca="1" si="33"/>
        <v>CDCA</v>
      </c>
      <c r="N240" s="89"/>
      <c r="O240" s="47" t="str">
        <f t="shared" ca="1" si="34"/>
        <v>118B</v>
      </c>
    </row>
    <row r="241" spans="2:15">
      <c r="B241" s="48">
        <f t="shared" ca="1" si="28"/>
        <v>62621</v>
      </c>
      <c r="C241" s="49">
        <f ca="1">BitXOR(B241, $V$16)</f>
        <v>61593</v>
      </c>
      <c r="D241" s="64">
        <f t="shared" ca="1" si="29"/>
        <v>61587</v>
      </c>
      <c r="E241" s="64">
        <f t="shared" ca="1" si="30"/>
        <v>45886</v>
      </c>
      <c r="F241" s="89"/>
      <c r="G241" s="89"/>
      <c r="H241" s="47" t="str">
        <f t="shared" ca="1" si="31"/>
        <v>F49D</v>
      </c>
      <c r="I241" s="89"/>
      <c r="J241" s="47" t="str">
        <f t="shared" ca="1" si="32"/>
        <v>F099</v>
      </c>
      <c r="K241" s="89"/>
      <c r="L241" s="89"/>
      <c r="M241" s="47" t="str">
        <f t="shared" ca="1" si="33"/>
        <v>F093</v>
      </c>
      <c r="N241" s="89"/>
      <c r="O241" s="47" t="str">
        <f t="shared" ca="1" si="34"/>
        <v>B33E</v>
      </c>
    </row>
    <row r="242" spans="2:15">
      <c r="B242" s="48">
        <f t="shared" ca="1" si="28"/>
        <v>42134</v>
      </c>
      <c r="C242" s="49">
        <f ca="1">BitXOR(B242, $V$16)</f>
        <v>41106</v>
      </c>
      <c r="D242" s="64">
        <f t="shared" ca="1" si="29"/>
        <v>52655</v>
      </c>
      <c r="E242" s="64">
        <f t="shared" ca="1" si="30"/>
        <v>64013</v>
      </c>
      <c r="F242" s="89"/>
      <c r="G242" s="89"/>
      <c r="H242" s="47" t="str">
        <f t="shared" ca="1" si="31"/>
        <v>A496</v>
      </c>
      <c r="I242" s="89"/>
      <c r="J242" s="47" t="str">
        <f t="shared" ca="1" si="32"/>
        <v>A092</v>
      </c>
      <c r="K242" s="89"/>
      <c r="L242" s="89"/>
      <c r="M242" s="47" t="str">
        <f t="shared" ca="1" si="33"/>
        <v>CDAF</v>
      </c>
      <c r="N242" s="89"/>
      <c r="O242" s="47" t="str">
        <f t="shared" ca="1" si="34"/>
        <v>FA0D</v>
      </c>
    </row>
    <row r="243" spans="2:15">
      <c r="B243" s="48">
        <f t="shared" ca="1" si="28"/>
        <v>29864</v>
      </c>
      <c r="C243" s="49">
        <f ca="1">BitXOR(B243, $V$16)</f>
        <v>28844</v>
      </c>
      <c r="D243" s="64">
        <f t="shared" ca="1" si="29"/>
        <v>49843</v>
      </c>
      <c r="E243" s="64">
        <f t="shared" ca="1" si="30"/>
        <v>49399</v>
      </c>
      <c r="F243" s="89"/>
      <c r="G243" s="89"/>
      <c r="H243" s="47" t="str">
        <f t="shared" ca="1" si="31"/>
        <v>74A8</v>
      </c>
      <c r="I243" s="89"/>
      <c r="J243" s="47" t="str">
        <f t="shared" ca="1" si="32"/>
        <v>70AC</v>
      </c>
      <c r="K243" s="89"/>
      <c r="L243" s="89"/>
      <c r="M243" s="47" t="str">
        <f t="shared" ca="1" si="33"/>
        <v>C2B3</v>
      </c>
      <c r="N243" s="89"/>
      <c r="O243" s="47" t="str">
        <f t="shared" ca="1" si="34"/>
        <v>C0F7</v>
      </c>
    </row>
    <row r="244" spans="2:15">
      <c r="B244" s="48">
        <f t="shared" ca="1" si="28"/>
        <v>15346</v>
      </c>
      <c r="C244" s="49">
        <f ca="1">BitXOR(B244, $V$16)</f>
        <v>16374</v>
      </c>
      <c r="D244" s="64">
        <f t="shared" ca="1" si="29"/>
        <v>2450</v>
      </c>
      <c r="E244" s="64">
        <f t="shared" ca="1" si="30"/>
        <v>41697</v>
      </c>
      <c r="F244" s="89"/>
      <c r="G244" s="89"/>
      <c r="H244" s="47" t="str">
        <f t="shared" ca="1" si="31"/>
        <v>3BF2</v>
      </c>
      <c r="I244" s="89"/>
      <c r="J244" s="47" t="str">
        <f t="shared" ca="1" si="32"/>
        <v>3FF6</v>
      </c>
      <c r="K244" s="89"/>
      <c r="L244" s="89"/>
      <c r="M244" s="47" t="str">
        <f t="shared" ca="1" si="33"/>
        <v>0992</v>
      </c>
      <c r="N244" s="89"/>
      <c r="O244" s="47" t="str">
        <f t="shared" ca="1" si="34"/>
        <v>A2E1</v>
      </c>
    </row>
    <row r="245" spans="2:15">
      <c r="B245" s="48">
        <f t="shared" ca="1" si="28"/>
        <v>33621</v>
      </c>
      <c r="C245" s="49">
        <f ca="1">BitXOR(B245, $V$16)</f>
        <v>34641</v>
      </c>
      <c r="D245" s="64">
        <f t="shared" ca="1" si="29"/>
        <v>30895</v>
      </c>
      <c r="E245" s="64">
        <f t="shared" ca="1" si="30"/>
        <v>5825</v>
      </c>
      <c r="F245" s="89"/>
      <c r="G245" s="89"/>
      <c r="H245" s="47" t="str">
        <f t="shared" ca="1" si="31"/>
        <v>8355</v>
      </c>
      <c r="I245" s="89"/>
      <c r="J245" s="47" t="str">
        <f t="shared" ca="1" si="32"/>
        <v>8751</v>
      </c>
      <c r="K245" s="89"/>
      <c r="L245" s="89"/>
      <c r="M245" s="47" t="str">
        <f t="shared" ca="1" si="33"/>
        <v>78AF</v>
      </c>
      <c r="N245" s="89"/>
      <c r="O245" s="47" t="str">
        <f t="shared" ca="1" si="34"/>
        <v>16C1</v>
      </c>
    </row>
    <row r="246" spans="2:15">
      <c r="B246" s="48">
        <f t="shared" ca="1" si="28"/>
        <v>50036</v>
      </c>
      <c r="C246" s="49">
        <f ca="1">BitXOR(B246, $V$16)</f>
        <v>51056</v>
      </c>
      <c r="D246" s="64">
        <f t="shared" ca="1" si="29"/>
        <v>48935</v>
      </c>
      <c r="E246" s="64">
        <f t="shared" ca="1" si="30"/>
        <v>12947</v>
      </c>
      <c r="F246" s="89"/>
      <c r="G246" s="89"/>
      <c r="H246" s="47" t="str">
        <f t="shared" ca="1" si="31"/>
        <v>C374</v>
      </c>
      <c r="I246" s="89"/>
      <c r="J246" s="47" t="str">
        <f t="shared" ca="1" si="32"/>
        <v>C770</v>
      </c>
      <c r="K246" s="89"/>
      <c r="L246" s="89"/>
      <c r="M246" s="47" t="str">
        <f t="shared" ca="1" si="33"/>
        <v>BF27</v>
      </c>
      <c r="N246" s="89"/>
      <c r="O246" s="47" t="str">
        <f t="shared" ca="1" si="34"/>
        <v>3293</v>
      </c>
    </row>
    <row r="247" spans="2:15">
      <c r="B247" s="48">
        <f t="shared" ca="1" si="28"/>
        <v>51250</v>
      </c>
      <c r="C247" s="49">
        <f ca="1">BitXOR(B247, $V$16)</f>
        <v>52278</v>
      </c>
      <c r="D247" s="64">
        <f t="shared" ca="1" si="29"/>
        <v>16067</v>
      </c>
      <c r="E247" s="64">
        <f t="shared" ca="1" si="30"/>
        <v>32695</v>
      </c>
      <c r="F247" s="89"/>
      <c r="G247" s="89"/>
      <c r="H247" s="47" t="str">
        <f t="shared" ca="1" si="31"/>
        <v>C832</v>
      </c>
      <c r="I247" s="89"/>
      <c r="J247" s="47" t="str">
        <f t="shared" ca="1" si="32"/>
        <v>CC36</v>
      </c>
      <c r="K247" s="89"/>
      <c r="L247" s="89"/>
      <c r="M247" s="47" t="str">
        <f t="shared" ca="1" si="33"/>
        <v>3EC3</v>
      </c>
      <c r="N247" s="89"/>
      <c r="O247" s="47" t="str">
        <f t="shared" ca="1" si="34"/>
        <v>7FB7</v>
      </c>
    </row>
    <row r="248" spans="2:15">
      <c r="B248" s="48">
        <f t="shared" ca="1" si="28"/>
        <v>45929</v>
      </c>
      <c r="C248" s="49">
        <f ca="1">BitXOR(B248, $V$16)</f>
        <v>46957</v>
      </c>
      <c r="D248" s="64">
        <f t="shared" ca="1" si="29"/>
        <v>11894</v>
      </c>
      <c r="E248" s="64">
        <f t="shared" ca="1" si="30"/>
        <v>5701</v>
      </c>
      <c r="F248" s="89"/>
      <c r="G248" s="89"/>
      <c r="H248" s="47" t="str">
        <f t="shared" ca="1" si="31"/>
        <v>B369</v>
      </c>
      <c r="I248" s="89"/>
      <c r="J248" s="47" t="str">
        <f t="shared" ca="1" si="32"/>
        <v>B76D</v>
      </c>
      <c r="K248" s="89"/>
      <c r="L248" s="89"/>
      <c r="M248" s="47" t="str">
        <f t="shared" ca="1" si="33"/>
        <v>2E76</v>
      </c>
      <c r="N248" s="89"/>
      <c r="O248" s="47" t="str">
        <f t="shared" ca="1" si="34"/>
        <v>1645</v>
      </c>
    </row>
    <row r="249" spans="2:15">
      <c r="B249" s="48">
        <f t="shared" ca="1" si="28"/>
        <v>26791</v>
      </c>
      <c r="C249" s="49">
        <f ca="1">BitXOR(B249, $V$16)</f>
        <v>27811</v>
      </c>
      <c r="D249" s="64">
        <f t="shared" ca="1" si="29"/>
        <v>45773</v>
      </c>
      <c r="E249" s="64">
        <f t="shared" ca="1" si="30"/>
        <v>1176</v>
      </c>
      <c r="F249" s="89"/>
      <c r="G249" s="89"/>
      <c r="H249" s="47" t="str">
        <f t="shared" ca="1" si="31"/>
        <v>68A7</v>
      </c>
      <c r="I249" s="89"/>
      <c r="J249" s="47" t="str">
        <f t="shared" ca="1" si="32"/>
        <v>6CA3</v>
      </c>
      <c r="K249" s="89"/>
      <c r="L249" s="89"/>
      <c r="M249" s="47" t="str">
        <f t="shared" ca="1" si="33"/>
        <v>B2CD</v>
      </c>
      <c r="N249" s="89"/>
      <c r="O249" s="47" t="str">
        <f t="shared" ca="1" si="34"/>
        <v>0498</v>
      </c>
    </row>
    <row r="250" spans="2:15">
      <c r="B250" s="48">
        <f t="shared" ca="1" si="28"/>
        <v>47246</v>
      </c>
      <c r="C250" s="49">
        <f ca="1">BitXOR(B250, $V$16)</f>
        <v>48266</v>
      </c>
      <c r="D250" s="64">
        <f t="shared" ca="1" si="29"/>
        <v>15018</v>
      </c>
      <c r="E250" s="64">
        <f t="shared" ca="1" si="30"/>
        <v>10575</v>
      </c>
      <c r="F250" s="89"/>
      <c r="G250" s="89"/>
      <c r="H250" s="47" t="str">
        <f t="shared" ca="1" si="31"/>
        <v>B88E</v>
      </c>
      <c r="I250" s="89"/>
      <c r="J250" s="47" t="str">
        <f t="shared" ca="1" si="32"/>
        <v>BC8A</v>
      </c>
      <c r="K250" s="89"/>
      <c r="L250" s="89"/>
      <c r="M250" s="47" t="str">
        <f t="shared" ca="1" si="33"/>
        <v>3AAA</v>
      </c>
      <c r="N250" s="89"/>
      <c r="O250" s="47" t="str">
        <f t="shared" ca="1" si="34"/>
        <v>294F</v>
      </c>
    </row>
    <row r="251" spans="2:15">
      <c r="B251" s="48">
        <f t="shared" ca="1" si="28"/>
        <v>1337</v>
      </c>
      <c r="C251" s="49">
        <f ca="1">BitXOR(B251, $V$16)</f>
        <v>317</v>
      </c>
      <c r="D251" s="64">
        <f t="shared" ca="1" si="29"/>
        <v>23533</v>
      </c>
      <c r="E251" s="64">
        <f t="shared" ca="1" si="30"/>
        <v>23098</v>
      </c>
      <c r="F251" s="89"/>
      <c r="G251" s="89"/>
      <c r="H251" s="47" t="str">
        <f t="shared" ca="1" si="31"/>
        <v>0539</v>
      </c>
      <c r="I251" s="89"/>
      <c r="J251" s="47" t="str">
        <f t="shared" ca="1" si="32"/>
        <v>013D</v>
      </c>
      <c r="K251" s="89"/>
      <c r="L251" s="89"/>
      <c r="M251" s="47" t="str">
        <f t="shared" ca="1" si="33"/>
        <v>5BED</v>
      </c>
      <c r="N251" s="89"/>
      <c r="O251" s="47" t="str">
        <f t="shared" ca="1" si="34"/>
        <v>5A3A</v>
      </c>
    </row>
    <row r="252" spans="2:15">
      <c r="B252" s="48">
        <f t="shared" ca="1" si="28"/>
        <v>41735</v>
      </c>
      <c r="C252" s="49">
        <f ca="1">BitXOR(B252, $V$16)</f>
        <v>42755</v>
      </c>
      <c r="D252" s="64">
        <f t="shared" ca="1" si="29"/>
        <v>41384</v>
      </c>
      <c r="E252" s="64">
        <f t="shared" ca="1" si="30"/>
        <v>20036</v>
      </c>
      <c r="F252" s="89"/>
      <c r="G252" s="89"/>
      <c r="H252" s="47" t="str">
        <f t="shared" ca="1" si="31"/>
        <v>A307</v>
      </c>
      <c r="I252" s="89"/>
      <c r="J252" s="47" t="str">
        <f t="shared" ca="1" si="32"/>
        <v>A703</v>
      </c>
      <c r="K252" s="89"/>
      <c r="L252" s="89"/>
      <c r="M252" s="47" t="str">
        <f t="shared" ca="1" si="33"/>
        <v>A1A8</v>
      </c>
      <c r="N252" s="89"/>
      <c r="O252" s="47" t="str">
        <f t="shared" ca="1" si="34"/>
        <v>4E44</v>
      </c>
    </row>
    <row r="253" spans="2:15">
      <c r="B253" s="48">
        <f t="shared" ca="1" si="28"/>
        <v>62872</v>
      </c>
      <c r="C253" s="49">
        <f ca="1">BitXOR(B253, $V$16)</f>
        <v>61852</v>
      </c>
      <c r="D253" s="64">
        <f t="shared" ca="1" si="29"/>
        <v>23312</v>
      </c>
      <c r="E253" s="64">
        <f t="shared" ca="1" si="30"/>
        <v>15066</v>
      </c>
      <c r="F253" s="89"/>
      <c r="G253" s="89"/>
      <c r="H253" s="47" t="str">
        <f t="shared" ca="1" si="31"/>
        <v>F598</v>
      </c>
      <c r="I253" s="89"/>
      <c r="J253" s="47" t="str">
        <f t="shared" ca="1" si="32"/>
        <v>F19C</v>
      </c>
      <c r="K253" s="89"/>
      <c r="L253" s="89"/>
      <c r="M253" s="47" t="str">
        <f t="shared" ca="1" si="33"/>
        <v>5B10</v>
      </c>
      <c r="N253" s="89"/>
      <c r="O253" s="47" t="str">
        <f t="shared" ca="1" si="34"/>
        <v>3ADA</v>
      </c>
    </row>
    <row r="254" spans="2:15">
      <c r="B254" s="48">
        <f t="shared" ca="1" si="28"/>
        <v>18864</v>
      </c>
      <c r="C254" s="49">
        <f ca="1">BitXOR(B254, $V$16)</f>
        <v>19892</v>
      </c>
      <c r="D254" s="64">
        <f t="shared" ca="1" si="29"/>
        <v>64810</v>
      </c>
      <c r="E254" s="64">
        <f t="shared" ca="1" si="30"/>
        <v>9839</v>
      </c>
      <c r="F254" s="89"/>
      <c r="G254" s="89"/>
      <c r="H254" s="47" t="str">
        <f t="shared" ca="1" si="31"/>
        <v>49B0</v>
      </c>
      <c r="I254" s="89"/>
      <c r="J254" s="47" t="str">
        <f t="shared" ca="1" si="32"/>
        <v>4DB4</v>
      </c>
      <c r="K254" s="89"/>
      <c r="L254" s="89"/>
      <c r="M254" s="47" t="str">
        <f t="shared" ca="1" si="33"/>
        <v>FD2A</v>
      </c>
      <c r="N254" s="89"/>
      <c r="O254" s="47" t="str">
        <f t="shared" ca="1" si="34"/>
        <v>266F</v>
      </c>
    </row>
    <row r="255" spans="2:15">
      <c r="B255" s="48">
        <f t="shared" ca="1" si="28"/>
        <v>38836</v>
      </c>
      <c r="C255" s="49">
        <f ca="1">BitXOR(B255, $V$16)</f>
        <v>37808</v>
      </c>
      <c r="D255" s="64">
        <f t="shared" ca="1" si="29"/>
        <v>17859</v>
      </c>
      <c r="E255" s="64">
        <f t="shared" ca="1" si="30"/>
        <v>3419</v>
      </c>
      <c r="F255" s="89"/>
      <c r="G255" s="89"/>
      <c r="H255" s="47" t="str">
        <f t="shared" ca="1" si="31"/>
        <v>97B4</v>
      </c>
      <c r="I255" s="89"/>
      <c r="J255" s="47" t="str">
        <f t="shared" ca="1" si="32"/>
        <v>93B0</v>
      </c>
      <c r="K255" s="89"/>
      <c r="L255" s="89"/>
      <c r="M255" s="47" t="str">
        <f t="shared" ca="1" si="33"/>
        <v>45C3</v>
      </c>
      <c r="N255" s="89"/>
      <c r="O255" s="47" t="str">
        <f t="shared" ca="1" si="34"/>
        <v>0D5B</v>
      </c>
    </row>
    <row r="256" spans="2:15">
      <c r="B256" s="48">
        <f t="shared" ca="1" si="28"/>
        <v>51297</v>
      </c>
      <c r="C256" s="49">
        <f ca="1">BitXOR(B256, $V$16)</f>
        <v>52325</v>
      </c>
      <c r="D256" s="64">
        <f t="shared" ca="1" si="29"/>
        <v>55396</v>
      </c>
      <c r="E256" s="64">
        <f t="shared" ca="1" si="30"/>
        <v>55264</v>
      </c>
      <c r="F256" s="89"/>
      <c r="G256" s="89"/>
      <c r="H256" s="47" t="str">
        <f t="shared" ca="1" si="31"/>
        <v>C861</v>
      </c>
      <c r="I256" s="89"/>
      <c r="J256" s="47" t="str">
        <f t="shared" ca="1" si="32"/>
        <v>CC65</v>
      </c>
      <c r="K256" s="89"/>
      <c r="L256" s="89"/>
      <c r="M256" s="47" t="str">
        <f t="shared" ca="1" si="33"/>
        <v>D864</v>
      </c>
      <c r="N256" s="89"/>
      <c r="O256" s="47" t="str">
        <f t="shared" ca="1" si="34"/>
        <v>D7E0</v>
      </c>
    </row>
    <row r="257" spans="2:15">
      <c r="B257" s="48">
        <f t="shared" ca="1" si="28"/>
        <v>25677</v>
      </c>
      <c r="C257" s="49">
        <f ca="1">BitXOR(B257, $V$16)</f>
        <v>24649</v>
      </c>
      <c r="D257" s="64">
        <f t="shared" ca="1" si="29"/>
        <v>52373</v>
      </c>
      <c r="E257" s="64">
        <f t="shared" ca="1" si="30"/>
        <v>44169</v>
      </c>
      <c r="F257" s="89"/>
      <c r="G257" s="89"/>
      <c r="H257" s="47" t="str">
        <f t="shared" ca="1" si="31"/>
        <v>644D</v>
      </c>
      <c r="I257" s="89"/>
      <c r="J257" s="47" t="str">
        <f t="shared" ca="1" si="32"/>
        <v>6049</v>
      </c>
      <c r="K257" s="89"/>
      <c r="L257" s="89"/>
      <c r="M257" s="47" t="str">
        <f t="shared" ca="1" si="33"/>
        <v>CC95</v>
      </c>
      <c r="N257" s="89"/>
      <c r="O257" s="47" t="str">
        <f t="shared" ca="1" si="34"/>
        <v>AC89</v>
      </c>
    </row>
    <row r="258" spans="2:15">
      <c r="B258" s="48">
        <f t="shared" ca="1" si="28"/>
        <v>20067</v>
      </c>
      <c r="C258" s="49">
        <f ca="1">BitXOR(B258, $V$16)</f>
        <v>19047</v>
      </c>
      <c r="D258" s="64">
        <f t="shared" ca="1" si="29"/>
        <v>36618</v>
      </c>
      <c r="E258" s="64">
        <f t="shared" ca="1" si="30"/>
        <v>18654</v>
      </c>
      <c r="F258" s="89"/>
      <c r="G258" s="89"/>
      <c r="H258" s="47" t="str">
        <f t="shared" ca="1" si="31"/>
        <v>4E63</v>
      </c>
      <c r="I258" s="89"/>
      <c r="J258" s="47" t="str">
        <f t="shared" ca="1" si="32"/>
        <v>4A67</v>
      </c>
      <c r="K258" s="89"/>
      <c r="L258" s="89"/>
      <c r="M258" s="47" t="str">
        <f t="shared" ca="1" si="33"/>
        <v>8F0A</v>
      </c>
      <c r="N258" s="89"/>
      <c r="O258" s="47" t="str">
        <f t="shared" ca="1" si="34"/>
        <v>48DE</v>
      </c>
    </row>
    <row r="259" spans="2:15">
      <c r="B259" s="48">
        <f t="shared" ca="1" si="28"/>
        <v>37289</v>
      </c>
      <c r="C259" s="49">
        <f ca="1">BitXOR(B259, $V$16)</f>
        <v>38317</v>
      </c>
      <c r="D259" s="64">
        <f t="shared" ca="1" si="29"/>
        <v>50893</v>
      </c>
      <c r="E259" s="64">
        <f t="shared" ca="1" si="30"/>
        <v>36065</v>
      </c>
      <c r="F259" s="89"/>
      <c r="G259" s="89"/>
      <c r="H259" s="47" t="str">
        <f t="shared" ca="1" si="31"/>
        <v>91A9</v>
      </c>
      <c r="I259" s="89"/>
      <c r="J259" s="47" t="str">
        <f t="shared" ca="1" si="32"/>
        <v>95AD</v>
      </c>
      <c r="K259" s="89"/>
      <c r="L259" s="89"/>
      <c r="M259" s="47" t="str">
        <f t="shared" ca="1" si="33"/>
        <v>C6CD</v>
      </c>
      <c r="N259" s="89"/>
      <c r="O259" s="47" t="str">
        <f t="shared" ca="1" si="34"/>
        <v>8CE1</v>
      </c>
    </row>
    <row r="260" spans="2:15">
      <c r="B260" s="48">
        <f t="shared" ca="1" si="28"/>
        <v>33401</v>
      </c>
      <c r="C260" s="49">
        <f ca="1">BitXOR(B260, $V$16)</f>
        <v>34429</v>
      </c>
      <c r="D260" s="64">
        <f t="shared" ca="1" si="29"/>
        <v>46933</v>
      </c>
      <c r="E260" s="64">
        <f t="shared" ca="1" si="30"/>
        <v>30753</v>
      </c>
      <c r="F260" s="89"/>
      <c r="G260" s="89"/>
      <c r="H260" s="47" t="str">
        <f t="shared" ca="1" si="31"/>
        <v>8279</v>
      </c>
      <c r="I260" s="89"/>
      <c r="J260" s="47" t="str">
        <f t="shared" ca="1" si="32"/>
        <v>867D</v>
      </c>
      <c r="K260" s="89"/>
      <c r="L260" s="89"/>
      <c r="M260" s="47" t="str">
        <f t="shared" ca="1" si="33"/>
        <v>B755</v>
      </c>
      <c r="N260" s="89"/>
      <c r="O260" s="47" t="str">
        <f t="shared" ca="1" si="34"/>
        <v>7821</v>
      </c>
    </row>
    <row r="261" spans="2:15">
      <c r="B261" s="48">
        <f t="shared" ca="1" si="28"/>
        <v>58516</v>
      </c>
      <c r="C261" s="49">
        <f ca="1">BitXOR(B261, $V$16)</f>
        <v>57488</v>
      </c>
      <c r="D261" s="64">
        <f t="shared" ca="1" si="29"/>
        <v>52640</v>
      </c>
      <c r="E261" s="64">
        <f t="shared" ca="1" si="30"/>
        <v>64012</v>
      </c>
      <c r="F261" s="89"/>
      <c r="G261" s="89"/>
      <c r="H261" s="47" t="str">
        <f t="shared" ca="1" si="31"/>
        <v>E494</v>
      </c>
      <c r="I261" s="89"/>
      <c r="J261" s="47" t="str">
        <f t="shared" ca="1" si="32"/>
        <v>E090</v>
      </c>
      <c r="K261" s="89"/>
      <c r="L261" s="89"/>
      <c r="M261" s="47" t="str">
        <f t="shared" ca="1" si="33"/>
        <v>CDA0</v>
      </c>
      <c r="N261" s="89"/>
      <c r="O261" s="47" t="str">
        <f t="shared" ca="1" si="34"/>
        <v>FA0C</v>
      </c>
    </row>
    <row r="262" spans="2:15">
      <c r="B262" s="48">
        <f t="shared" ca="1" si="28"/>
        <v>62589</v>
      </c>
      <c r="C262" s="49">
        <f ca="1">BitXOR(B262, $V$16)</f>
        <v>61561</v>
      </c>
      <c r="D262" s="64">
        <f t="shared" ca="1" si="29"/>
        <v>48279</v>
      </c>
      <c r="E262" s="64">
        <f t="shared" ca="1" si="30"/>
        <v>48179</v>
      </c>
      <c r="F262" s="89"/>
      <c r="G262" s="89"/>
      <c r="H262" s="47" t="str">
        <f t="shared" ca="1" si="31"/>
        <v>F47D</v>
      </c>
      <c r="I262" s="89"/>
      <c r="J262" s="47" t="str">
        <f t="shared" ca="1" si="32"/>
        <v>F079</v>
      </c>
      <c r="K262" s="89"/>
      <c r="L262" s="89"/>
      <c r="M262" s="47" t="str">
        <f t="shared" ca="1" si="33"/>
        <v>BC97</v>
      </c>
      <c r="N262" s="89"/>
      <c r="O262" s="47" t="str">
        <f t="shared" ca="1" si="34"/>
        <v>BC33</v>
      </c>
    </row>
    <row r="263" spans="2:15">
      <c r="B263" s="48">
        <f t="shared" ca="1" si="28"/>
        <v>16885</v>
      </c>
      <c r="C263" s="49">
        <f ca="1">BitXOR(B263, $V$16)</f>
        <v>17905</v>
      </c>
      <c r="D263" s="64">
        <f t="shared" ca="1" si="29"/>
        <v>18527</v>
      </c>
      <c r="E263" s="64">
        <f t="shared" ca="1" si="30"/>
        <v>51953</v>
      </c>
      <c r="F263" s="89"/>
      <c r="G263" s="89"/>
      <c r="H263" s="47" t="str">
        <f t="shared" ca="1" si="31"/>
        <v>41F5</v>
      </c>
      <c r="I263" s="89"/>
      <c r="J263" s="47" t="str">
        <f t="shared" ca="1" si="32"/>
        <v>45F1</v>
      </c>
      <c r="K263" s="89"/>
      <c r="L263" s="89"/>
      <c r="M263" s="47" t="str">
        <f t="shared" ca="1" si="33"/>
        <v>485F</v>
      </c>
      <c r="N263" s="89"/>
      <c r="O263" s="47" t="str">
        <f t="shared" ca="1" si="34"/>
        <v>CAF1</v>
      </c>
    </row>
    <row r="264" spans="2:15">
      <c r="B264" s="48">
        <f t="shared" ca="1" si="28"/>
        <v>11330</v>
      </c>
      <c r="C264" s="49">
        <f ca="1">BitXOR(B264, $V$16)</f>
        <v>10310</v>
      </c>
      <c r="D264" s="64">
        <f t="shared" ca="1" si="29"/>
        <v>32236</v>
      </c>
      <c r="E264" s="64">
        <f t="shared" ca="1" si="30"/>
        <v>50735</v>
      </c>
      <c r="F264" s="89"/>
      <c r="G264" s="89"/>
      <c r="H264" s="47" t="str">
        <f t="shared" ca="1" si="31"/>
        <v>2C42</v>
      </c>
      <c r="I264" s="89"/>
      <c r="J264" s="47" t="str">
        <f t="shared" ca="1" si="32"/>
        <v>2846</v>
      </c>
      <c r="K264" s="89"/>
      <c r="L264" s="89"/>
      <c r="M264" s="47" t="str">
        <f t="shared" ca="1" si="33"/>
        <v>7DEC</v>
      </c>
      <c r="N264" s="89"/>
      <c r="O264" s="47" t="str">
        <f t="shared" ca="1" si="34"/>
        <v>C62F</v>
      </c>
    </row>
    <row r="265" spans="2:15">
      <c r="B265" s="48">
        <f t="shared" ca="1" si="28"/>
        <v>37668</v>
      </c>
      <c r="C265" s="49">
        <f ca="1">BitXOR(B265, $V$16)</f>
        <v>38688</v>
      </c>
      <c r="D265" s="64">
        <f t="shared" ca="1" si="29"/>
        <v>50248</v>
      </c>
      <c r="E265" s="64">
        <f t="shared" ca="1" si="30"/>
        <v>59224</v>
      </c>
      <c r="F265" s="89"/>
      <c r="G265" s="89"/>
      <c r="H265" s="47" t="str">
        <f t="shared" ca="1" si="31"/>
        <v>9324</v>
      </c>
      <c r="I265" s="89"/>
      <c r="J265" s="47" t="str">
        <f t="shared" ca="1" si="32"/>
        <v>9720</v>
      </c>
      <c r="K265" s="89"/>
      <c r="L265" s="89"/>
      <c r="M265" s="47" t="str">
        <f t="shared" ca="1" si="33"/>
        <v>C448</v>
      </c>
      <c r="N265" s="89"/>
      <c r="O265" s="47" t="str">
        <f t="shared" ca="1" si="34"/>
        <v>E758</v>
      </c>
    </row>
    <row r="266" spans="2:15">
      <c r="B266" s="48">
        <f t="shared" ca="1" si="28"/>
        <v>45634</v>
      </c>
      <c r="C266" s="49">
        <f ca="1">BitXOR(B266, $V$16)</f>
        <v>46662</v>
      </c>
      <c r="D266" s="64">
        <f t="shared" ca="1" si="29"/>
        <v>5304</v>
      </c>
      <c r="E266" s="64">
        <f t="shared" ca="1" si="30"/>
        <v>1014</v>
      </c>
      <c r="F266" s="89"/>
      <c r="G266" s="89"/>
      <c r="H266" s="47" t="str">
        <f t="shared" ca="1" si="31"/>
        <v>B242</v>
      </c>
      <c r="I266" s="89"/>
      <c r="J266" s="47" t="str">
        <f t="shared" ca="1" si="32"/>
        <v>B646</v>
      </c>
      <c r="K266" s="89"/>
      <c r="L266" s="89"/>
      <c r="M266" s="47" t="str">
        <f t="shared" ca="1" si="33"/>
        <v>14B8</v>
      </c>
      <c r="N266" s="89"/>
      <c r="O266" s="47" t="str">
        <f t="shared" ca="1" si="34"/>
        <v>03F6</v>
      </c>
    </row>
    <row r="267" spans="2:15">
      <c r="B267" s="48">
        <f t="shared" ca="1" si="28"/>
        <v>60785</v>
      </c>
      <c r="C267" s="49">
        <f ca="1">BitXOR(B267, $V$16)</f>
        <v>59765</v>
      </c>
      <c r="D267" s="64">
        <f t="shared" ca="1" si="29"/>
        <v>29937</v>
      </c>
      <c r="E267" s="64">
        <f t="shared" ca="1" si="30"/>
        <v>61799</v>
      </c>
      <c r="F267" s="89"/>
      <c r="G267" s="89"/>
      <c r="H267" s="47" t="str">
        <f t="shared" ca="1" si="31"/>
        <v>ED71</v>
      </c>
      <c r="I267" s="89"/>
      <c r="J267" s="47" t="str">
        <f t="shared" ca="1" si="32"/>
        <v>E975</v>
      </c>
      <c r="K267" s="89"/>
      <c r="L267" s="89"/>
      <c r="M267" s="47" t="str">
        <f t="shared" ca="1" si="33"/>
        <v>74F1</v>
      </c>
      <c r="N267" s="89"/>
      <c r="O267" s="47" t="str">
        <f t="shared" ca="1" si="34"/>
        <v>F167</v>
      </c>
    </row>
    <row r="268" spans="2:15">
      <c r="B268" s="48">
        <f t="shared" ca="1" si="28"/>
        <v>12815</v>
      </c>
      <c r="C268" s="49">
        <f ca="1">BitXOR(B268, $V$16)</f>
        <v>13835</v>
      </c>
      <c r="D268" s="64">
        <f t="shared" ca="1" si="29"/>
        <v>18744</v>
      </c>
      <c r="E268" s="64">
        <f t="shared" ca="1" si="30"/>
        <v>17862</v>
      </c>
      <c r="F268" s="89"/>
      <c r="G268" s="89"/>
      <c r="H268" s="47" t="str">
        <f t="shared" ca="1" si="31"/>
        <v>320F</v>
      </c>
      <c r="I268" s="89"/>
      <c r="J268" s="47" t="str">
        <f t="shared" ca="1" si="32"/>
        <v>360B</v>
      </c>
      <c r="K268" s="89"/>
      <c r="L268" s="89"/>
      <c r="M268" s="47" t="str">
        <f t="shared" ca="1" si="33"/>
        <v>4938</v>
      </c>
      <c r="N268" s="89"/>
      <c r="O268" s="47" t="str">
        <f t="shared" ca="1" si="34"/>
        <v>45C6</v>
      </c>
    </row>
    <row r="269" spans="2:15">
      <c r="B269" s="48">
        <f t="shared" ca="1" si="28"/>
        <v>39336</v>
      </c>
      <c r="C269" s="49">
        <f ca="1">BitXOR(B269, $V$16)</f>
        <v>40364</v>
      </c>
      <c r="D269" s="64">
        <f t="shared" ca="1" si="29"/>
        <v>65137</v>
      </c>
      <c r="E269" s="64">
        <f t="shared" ca="1" si="30"/>
        <v>65111</v>
      </c>
      <c r="F269" s="89"/>
      <c r="G269" s="89"/>
      <c r="H269" s="47" t="str">
        <f t="shared" ca="1" si="31"/>
        <v>99A8</v>
      </c>
      <c r="I269" s="89"/>
      <c r="J269" s="47" t="str">
        <f t="shared" ca="1" si="32"/>
        <v>9DAC</v>
      </c>
      <c r="K269" s="89"/>
      <c r="L269" s="89"/>
      <c r="M269" s="47" t="str">
        <f t="shared" ca="1" si="33"/>
        <v>FE71</v>
      </c>
      <c r="N269" s="89"/>
      <c r="O269" s="47" t="str">
        <f t="shared" ca="1" si="34"/>
        <v>FE57</v>
      </c>
    </row>
    <row r="270" spans="2:15">
      <c r="B270" s="48">
        <f t="shared" ca="1" si="28"/>
        <v>4714</v>
      </c>
      <c r="C270" s="49">
        <f ca="1">BitXOR(B270, $V$16)</f>
        <v>5742</v>
      </c>
      <c r="D270" s="64">
        <f t="shared" ca="1" si="29"/>
        <v>44550</v>
      </c>
      <c r="E270" s="64">
        <f t="shared" ca="1" si="30"/>
        <v>41972</v>
      </c>
      <c r="F270" s="89"/>
      <c r="G270" s="89"/>
      <c r="H270" s="47" t="str">
        <f t="shared" ca="1" si="31"/>
        <v>126A</v>
      </c>
      <c r="I270" s="89"/>
      <c r="J270" s="47" t="str">
        <f t="shared" ca="1" si="32"/>
        <v>166E</v>
      </c>
      <c r="K270" s="89"/>
      <c r="L270" s="89"/>
      <c r="M270" s="47" t="str">
        <f t="shared" ca="1" si="33"/>
        <v>AE06</v>
      </c>
      <c r="N270" s="89"/>
      <c r="O270" s="47" t="str">
        <f t="shared" ca="1" si="34"/>
        <v>A3F4</v>
      </c>
    </row>
    <row r="271" spans="2:15">
      <c r="B271" s="48">
        <f t="shared" ca="1" si="28"/>
        <v>39475</v>
      </c>
      <c r="C271" s="49">
        <f ca="1">BitXOR(B271, $V$16)</f>
        <v>40503</v>
      </c>
      <c r="D271" s="64">
        <f t="shared" ca="1" si="29"/>
        <v>9247</v>
      </c>
      <c r="E271" s="64">
        <f t="shared" ca="1" si="30"/>
        <v>22458</v>
      </c>
      <c r="F271" s="89"/>
      <c r="G271" s="89"/>
      <c r="H271" s="47" t="str">
        <f t="shared" ca="1" si="31"/>
        <v>9A33</v>
      </c>
      <c r="I271" s="89"/>
      <c r="J271" s="47" t="str">
        <f t="shared" ca="1" si="32"/>
        <v>9E37</v>
      </c>
      <c r="K271" s="89"/>
      <c r="L271" s="89"/>
      <c r="M271" s="47" t="str">
        <f t="shared" ca="1" si="33"/>
        <v>241F</v>
      </c>
      <c r="N271" s="89"/>
      <c r="O271" s="47" t="str">
        <f t="shared" ca="1" si="34"/>
        <v>57BA</v>
      </c>
    </row>
    <row r="272" spans="2:15">
      <c r="B272" s="48">
        <f t="shared" ca="1" si="28"/>
        <v>2701</v>
      </c>
      <c r="C272" s="49">
        <f ca="1">BitXOR(B272, $V$16)</f>
        <v>3721</v>
      </c>
      <c r="D272" s="64">
        <f t="shared" ca="1" si="29"/>
        <v>29503</v>
      </c>
      <c r="E272" s="64">
        <f t="shared" ca="1" si="30"/>
        <v>42233</v>
      </c>
      <c r="F272" s="89"/>
      <c r="G272" s="89"/>
      <c r="H272" s="47" t="str">
        <f t="shared" ca="1" si="31"/>
        <v>0A8D</v>
      </c>
      <c r="I272" s="89"/>
      <c r="J272" s="47" t="str">
        <f t="shared" ca="1" si="32"/>
        <v>0E89</v>
      </c>
      <c r="K272" s="89"/>
      <c r="L272" s="89"/>
      <c r="M272" s="47" t="str">
        <f t="shared" ca="1" si="33"/>
        <v>733F</v>
      </c>
      <c r="N272" s="89"/>
      <c r="O272" s="47" t="str">
        <f t="shared" ca="1" si="34"/>
        <v>A4F9</v>
      </c>
    </row>
    <row r="273" spans="2:15">
      <c r="B273" s="48">
        <f t="shared" ca="1" si="28"/>
        <v>23170</v>
      </c>
      <c r="C273" s="49">
        <f ca="1">BitXOR(B273, $V$16)</f>
        <v>24198</v>
      </c>
      <c r="D273" s="64">
        <f t="shared" ca="1" si="29"/>
        <v>18162</v>
      </c>
      <c r="E273" s="64">
        <f t="shared" ca="1" si="30"/>
        <v>9738</v>
      </c>
      <c r="F273" s="89"/>
      <c r="G273" s="89"/>
      <c r="H273" s="47" t="str">
        <f t="shared" ca="1" si="31"/>
        <v>5A82</v>
      </c>
      <c r="I273" s="89"/>
      <c r="J273" s="47" t="str">
        <f t="shared" ca="1" si="32"/>
        <v>5E86</v>
      </c>
      <c r="K273" s="89"/>
      <c r="L273" s="89"/>
      <c r="M273" s="47" t="str">
        <f t="shared" ca="1" si="33"/>
        <v>46F2</v>
      </c>
      <c r="N273" s="89"/>
      <c r="O273" s="47" t="str">
        <f t="shared" ca="1" si="34"/>
        <v>260A</v>
      </c>
    </row>
    <row r="274" spans="2:15">
      <c r="B274" s="48">
        <f t="shared" ca="1" si="28"/>
        <v>35278</v>
      </c>
      <c r="C274" s="49">
        <f ca="1">BitXOR(B274, $V$16)</f>
        <v>36298</v>
      </c>
      <c r="D274" s="64">
        <f t="shared" ca="1" si="29"/>
        <v>54026</v>
      </c>
      <c r="E274" s="64">
        <f t="shared" ca="1" si="30"/>
        <v>5764</v>
      </c>
      <c r="F274" s="89"/>
      <c r="G274" s="89"/>
      <c r="H274" s="47" t="str">
        <f t="shared" ca="1" si="31"/>
        <v>89CE</v>
      </c>
      <c r="I274" s="89"/>
      <c r="J274" s="47" t="str">
        <f t="shared" ca="1" si="32"/>
        <v>8DCA</v>
      </c>
      <c r="K274" s="89"/>
      <c r="L274" s="89"/>
      <c r="M274" s="47" t="str">
        <f t="shared" ca="1" si="33"/>
        <v>D30A</v>
      </c>
      <c r="N274" s="89"/>
      <c r="O274" s="47" t="str">
        <f t="shared" ca="1" si="34"/>
        <v>1684</v>
      </c>
    </row>
    <row r="275" spans="2:15">
      <c r="B275" s="48">
        <f t="shared" ca="1" si="28"/>
        <v>51481</v>
      </c>
      <c r="C275" s="49">
        <f ca="1">BitXOR(B275, $V$16)</f>
        <v>52509</v>
      </c>
      <c r="D275" s="64">
        <f t="shared" ca="1" si="29"/>
        <v>698</v>
      </c>
      <c r="E275" s="64">
        <f t="shared" ca="1" si="30"/>
        <v>2144</v>
      </c>
      <c r="F275" s="89"/>
      <c r="G275" s="89"/>
      <c r="H275" s="47" t="str">
        <f t="shared" ca="1" si="31"/>
        <v>C919</v>
      </c>
      <c r="I275" s="89"/>
      <c r="J275" s="47" t="str">
        <f t="shared" ca="1" si="32"/>
        <v>CD1D</v>
      </c>
      <c r="K275" s="89"/>
      <c r="L275" s="89"/>
      <c r="M275" s="47" t="str">
        <f t="shared" ca="1" si="33"/>
        <v>02BA</v>
      </c>
      <c r="N275" s="89"/>
      <c r="O275" s="47" t="str">
        <f t="shared" ca="1" si="34"/>
        <v>0860</v>
      </c>
    </row>
    <row r="276" spans="2:15">
      <c r="B276" s="48">
        <f t="shared" ca="1" si="28"/>
        <v>62995</v>
      </c>
      <c r="C276" s="49">
        <f ca="1">BitXOR(B276, $V$16)</f>
        <v>61975</v>
      </c>
      <c r="D276" s="64">
        <f t="shared" ca="1" si="29"/>
        <v>4340</v>
      </c>
      <c r="E276" s="64">
        <f t="shared" ca="1" si="30"/>
        <v>7828</v>
      </c>
      <c r="F276" s="89"/>
      <c r="G276" s="89"/>
      <c r="H276" s="47" t="str">
        <f t="shared" ca="1" si="31"/>
        <v>F613</v>
      </c>
      <c r="I276" s="89"/>
      <c r="J276" s="47" t="str">
        <f t="shared" ca="1" si="32"/>
        <v>F217</v>
      </c>
      <c r="K276" s="89"/>
      <c r="L276" s="89"/>
      <c r="M276" s="47" t="str">
        <f t="shared" ca="1" si="33"/>
        <v>10F4</v>
      </c>
      <c r="N276" s="89"/>
      <c r="O276" s="47" t="str">
        <f t="shared" ca="1" si="34"/>
        <v>1E94</v>
      </c>
    </row>
    <row r="277" spans="2:15">
      <c r="B277" s="48">
        <f t="shared" ca="1" si="28"/>
        <v>64229</v>
      </c>
      <c r="C277" s="49">
        <f ca="1">BitXOR(B277, $V$16)</f>
        <v>65249</v>
      </c>
      <c r="D277" s="64">
        <f t="shared" ca="1" si="29"/>
        <v>32012</v>
      </c>
      <c r="E277" s="64">
        <f t="shared" ca="1" si="30"/>
        <v>53795</v>
      </c>
      <c r="F277" s="89"/>
      <c r="G277" s="89"/>
      <c r="H277" s="47" t="str">
        <f t="shared" ca="1" si="31"/>
        <v>FAE5</v>
      </c>
      <c r="I277" s="89"/>
      <c r="J277" s="47" t="str">
        <f t="shared" ca="1" si="32"/>
        <v>FEE1</v>
      </c>
      <c r="K277" s="89"/>
      <c r="L277" s="89"/>
      <c r="M277" s="47" t="str">
        <f t="shared" ca="1" si="33"/>
        <v>7D0C</v>
      </c>
      <c r="N277" s="89"/>
      <c r="O277" s="47" t="str">
        <f t="shared" ca="1" si="34"/>
        <v>D223</v>
      </c>
    </row>
    <row r="278" spans="2:15">
      <c r="B278" s="48">
        <f t="shared" ca="1" si="28"/>
        <v>20978</v>
      </c>
      <c r="C278" s="49">
        <f ca="1">BitXOR(B278, $V$16)</f>
        <v>22006</v>
      </c>
      <c r="D278" s="64">
        <f t="shared" ca="1" si="29"/>
        <v>58016</v>
      </c>
      <c r="E278" s="64">
        <f t="shared" ca="1" si="30"/>
        <v>35362</v>
      </c>
      <c r="F278" s="89"/>
      <c r="G278" s="89"/>
      <c r="H278" s="47" t="str">
        <f t="shared" ca="1" si="31"/>
        <v>51F2</v>
      </c>
      <c r="I278" s="89"/>
      <c r="J278" s="47" t="str">
        <f t="shared" ca="1" si="32"/>
        <v>55F6</v>
      </c>
      <c r="K278" s="89"/>
      <c r="L278" s="89"/>
      <c r="M278" s="47" t="str">
        <f t="shared" ca="1" si="33"/>
        <v>E2A0</v>
      </c>
      <c r="N278" s="89"/>
      <c r="O278" s="47" t="str">
        <f t="shared" ca="1" si="34"/>
        <v>8A22</v>
      </c>
    </row>
    <row r="279" spans="2:15">
      <c r="B279" s="48">
        <f t="shared" ref="B279:B342" ca="1" si="35">RANDBETWEEN(1,2^16-1)</f>
        <v>46676</v>
      </c>
      <c r="C279" s="49">
        <f ca="1">BitXOR(B279, $V$16)</f>
        <v>45648</v>
      </c>
      <c r="D279" s="64">
        <f t="shared" ca="1" si="29"/>
        <v>11472</v>
      </c>
      <c r="E279" s="64">
        <f t="shared" ca="1" si="30"/>
        <v>57948</v>
      </c>
      <c r="F279" s="89"/>
      <c r="G279" s="89"/>
      <c r="H279" s="47" t="str">
        <f t="shared" ca="1" si="31"/>
        <v>B654</v>
      </c>
      <c r="I279" s="89"/>
      <c r="J279" s="47" t="str">
        <f t="shared" ca="1" si="32"/>
        <v>B250</v>
      </c>
      <c r="K279" s="89"/>
      <c r="L279" s="89"/>
      <c r="M279" s="47" t="str">
        <f t="shared" ca="1" si="33"/>
        <v>2CD0</v>
      </c>
      <c r="N279" s="89"/>
      <c r="O279" s="47" t="str">
        <f t="shared" ca="1" si="34"/>
        <v>E25C</v>
      </c>
    </row>
    <row r="280" spans="2:15">
      <c r="B280" s="48">
        <f t="shared" ca="1" si="35"/>
        <v>33561</v>
      </c>
      <c r="C280" s="49">
        <f ca="1">BitXOR(B280, $V$16)</f>
        <v>34589</v>
      </c>
      <c r="D280" s="64">
        <f t="shared" ca="1" si="29"/>
        <v>20757</v>
      </c>
      <c r="E280" s="64">
        <f t="shared" ca="1" si="30"/>
        <v>1061</v>
      </c>
      <c r="F280" s="89"/>
      <c r="G280" s="89"/>
      <c r="H280" s="47" t="str">
        <f t="shared" ca="1" si="31"/>
        <v>8319</v>
      </c>
      <c r="I280" s="89"/>
      <c r="J280" s="47" t="str">
        <f t="shared" ca="1" si="32"/>
        <v>871D</v>
      </c>
      <c r="K280" s="89"/>
      <c r="L280" s="89"/>
      <c r="M280" s="47" t="str">
        <f t="shared" ca="1" si="33"/>
        <v>5115</v>
      </c>
      <c r="N280" s="89"/>
      <c r="O280" s="47" t="str">
        <f t="shared" ca="1" si="34"/>
        <v>0425</v>
      </c>
    </row>
    <row r="281" spans="2:15">
      <c r="B281" s="48">
        <f t="shared" ca="1" si="35"/>
        <v>62394</v>
      </c>
      <c r="C281" s="49">
        <f ca="1">BitXOR(B281, $V$16)</f>
        <v>63422</v>
      </c>
      <c r="D281" s="64">
        <f t="shared" ca="1" si="29"/>
        <v>13210</v>
      </c>
      <c r="E281" s="64">
        <f t="shared" ca="1" si="30"/>
        <v>20380</v>
      </c>
      <c r="F281" s="89"/>
      <c r="G281" s="89"/>
      <c r="H281" s="47" t="str">
        <f t="shared" ca="1" si="31"/>
        <v>F3BA</v>
      </c>
      <c r="I281" s="89"/>
      <c r="J281" s="47" t="str">
        <f t="shared" ca="1" si="32"/>
        <v>F7BE</v>
      </c>
      <c r="K281" s="89"/>
      <c r="L281" s="89"/>
      <c r="M281" s="47" t="str">
        <f t="shared" ca="1" si="33"/>
        <v>339A</v>
      </c>
      <c r="N281" s="89"/>
      <c r="O281" s="47" t="str">
        <f t="shared" ca="1" si="34"/>
        <v>4F9C</v>
      </c>
    </row>
    <row r="282" spans="2:15">
      <c r="B282" s="48">
        <f t="shared" ca="1" si="35"/>
        <v>65144</v>
      </c>
      <c r="C282" s="49">
        <f ca="1">BitXOR(B282, $V$16)</f>
        <v>64124</v>
      </c>
      <c r="D282" s="64">
        <f t="shared" ca="1" si="29"/>
        <v>42381</v>
      </c>
      <c r="E282" s="64">
        <f t="shared" ca="1" si="30"/>
        <v>14538</v>
      </c>
      <c r="F282" s="89"/>
      <c r="G282" s="89"/>
      <c r="H282" s="47" t="str">
        <f t="shared" ca="1" si="31"/>
        <v>FE78</v>
      </c>
      <c r="I282" s="89"/>
      <c r="J282" s="47" t="str">
        <f t="shared" ca="1" si="32"/>
        <v>FA7C</v>
      </c>
      <c r="K282" s="89"/>
      <c r="L282" s="89"/>
      <c r="M282" s="47" t="str">
        <f t="shared" ca="1" si="33"/>
        <v>A58D</v>
      </c>
      <c r="N282" s="89"/>
      <c r="O282" s="47" t="str">
        <f t="shared" ca="1" si="34"/>
        <v>38CA</v>
      </c>
    </row>
    <row r="283" spans="2:15">
      <c r="B283" s="48">
        <f t="shared" ca="1" si="35"/>
        <v>43023</v>
      </c>
      <c r="C283" s="49">
        <f ca="1">BitXOR(B283, $V$16)</f>
        <v>44043</v>
      </c>
      <c r="D283" s="64">
        <f t="shared" ca="1" si="29"/>
        <v>31322</v>
      </c>
      <c r="E283" s="64">
        <f t="shared" ca="1" si="30"/>
        <v>44454</v>
      </c>
      <c r="F283" s="89"/>
      <c r="G283" s="89"/>
      <c r="H283" s="47" t="str">
        <f t="shared" ca="1" si="31"/>
        <v>A80F</v>
      </c>
      <c r="I283" s="89"/>
      <c r="J283" s="47" t="str">
        <f t="shared" ca="1" si="32"/>
        <v>AC0B</v>
      </c>
      <c r="K283" s="89"/>
      <c r="L283" s="89"/>
      <c r="M283" s="47" t="str">
        <f t="shared" ca="1" si="33"/>
        <v>7A5A</v>
      </c>
      <c r="N283" s="89"/>
      <c r="O283" s="47" t="str">
        <f t="shared" ca="1" si="34"/>
        <v>ADA6</v>
      </c>
    </row>
    <row r="284" spans="2:15">
      <c r="B284" s="48">
        <f t="shared" ca="1" si="35"/>
        <v>53274</v>
      </c>
      <c r="C284" s="49">
        <f ca="1">BitXOR(B284, $V$16)</f>
        <v>54302</v>
      </c>
      <c r="D284" s="64">
        <f t="shared" ca="1" si="29"/>
        <v>19753</v>
      </c>
      <c r="E284" s="64">
        <f t="shared" ca="1" si="30"/>
        <v>19931</v>
      </c>
      <c r="F284" s="89"/>
      <c r="G284" s="89"/>
      <c r="H284" s="47" t="str">
        <f t="shared" ca="1" si="31"/>
        <v>D01A</v>
      </c>
      <c r="I284" s="89"/>
      <c r="J284" s="47" t="str">
        <f t="shared" ca="1" si="32"/>
        <v>D41E</v>
      </c>
      <c r="K284" s="89"/>
      <c r="L284" s="89"/>
      <c r="M284" s="47" t="str">
        <f t="shared" ca="1" si="33"/>
        <v>4D29</v>
      </c>
      <c r="N284" s="89"/>
      <c r="O284" s="47" t="str">
        <f t="shared" ca="1" si="34"/>
        <v>4DDB</v>
      </c>
    </row>
    <row r="285" spans="2:15">
      <c r="B285" s="48">
        <f t="shared" ca="1" si="35"/>
        <v>37934</v>
      </c>
      <c r="C285" s="49">
        <f ca="1">BitXOR(B285, $V$16)</f>
        <v>36906</v>
      </c>
      <c r="D285" s="64">
        <f t="shared" ca="1" si="29"/>
        <v>45402</v>
      </c>
      <c r="E285" s="64">
        <f t="shared" ca="1" si="30"/>
        <v>45438</v>
      </c>
      <c r="F285" s="89"/>
      <c r="G285" s="89"/>
      <c r="H285" s="47" t="str">
        <f t="shared" ca="1" si="31"/>
        <v>942E</v>
      </c>
      <c r="I285" s="89"/>
      <c r="J285" s="47" t="str">
        <f t="shared" ca="1" si="32"/>
        <v>902A</v>
      </c>
      <c r="K285" s="89"/>
      <c r="L285" s="89"/>
      <c r="M285" s="47" t="str">
        <f t="shared" ca="1" si="33"/>
        <v>B15A</v>
      </c>
      <c r="N285" s="89"/>
      <c r="O285" s="47" t="str">
        <f t="shared" ca="1" si="34"/>
        <v>B17E</v>
      </c>
    </row>
    <row r="286" spans="2:15">
      <c r="B286" s="48">
        <f t="shared" ca="1" si="35"/>
        <v>24416</v>
      </c>
      <c r="C286" s="49">
        <f ca="1">BitXOR(B286, $V$16)</f>
        <v>23396</v>
      </c>
      <c r="D286" s="64">
        <f t="shared" ca="1" si="29"/>
        <v>57386</v>
      </c>
      <c r="E286" s="64">
        <f t="shared" ca="1" si="30"/>
        <v>10956</v>
      </c>
      <c r="F286" s="89"/>
      <c r="G286" s="89"/>
      <c r="H286" s="47" t="str">
        <f t="shared" ca="1" si="31"/>
        <v>5F60</v>
      </c>
      <c r="I286" s="89"/>
      <c r="J286" s="47" t="str">
        <f t="shared" ca="1" si="32"/>
        <v>5B64</v>
      </c>
      <c r="K286" s="89"/>
      <c r="L286" s="89"/>
      <c r="M286" s="47" t="str">
        <f t="shared" ca="1" si="33"/>
        <v>E02A</v>
      </c>
      <c r="N286" s="89"/>
      <c r="O286" s="47" t="str">
        <f t="shared" ca="1" si="34"/>
        <v>2ACC</v>
      </c>
    </row>
    <row r="287" spans="2:15">
      <c r="B287" s="48">
        <f t="shared" ca="1" si="35"/>
        <v>63427</v>
      </c>
      <c r="C287" s="49">
        <f ca="1">BitXOR(B287, $V$16)</f>
        <v>62407</v>
      </c>
      <c r="D287" s="64">
        <f t="shared" ca="1" si="29"/>
        <v>5493</v>
      </c>
      <c r="E287" s="64">
        <f t="shared" ca="1" si="30"/>
        <v>3044</v>
      </c>
      <c r="F287" s="89"/>
      <c r="G287" s="89"/>
      <c r="H287" s="47" t="str">
        <f t="shared" ca="1" si="31"/>
        <v>F7C3</v>
      </c>
      <c r="I287" s="89"/>
      <c r="J287" s="47" t="str">
        <f t="shared" ca="1" si="32"/>
        <v>F3C7</v>
      </c>
      <c r="K287" s="89"/>
      <c r="L287" s="89"/>
      <c r="M287" s="47" t="str">
        <f t="shared" ca="1" si="33"/>
        <v>1575</v>
      </c>
      <c r="N287" s="89"/>
      <c r="O287" s="47" t="str">
        <f t="shared" ca="1" si="34"/>
        <v>0BE4</v>
      </c>
    </row>
    <row r="288" spans="2:15">
      <c r="B288" s="48">
        <f t="shared" ca="1" si="35"/>
        <v>9773</v>
      </c>
      <c r="C288" s="49">
        <f ca="1">BitXOR(B288, $V$16)</f>
        <v>8745</v>
      </c>
      <c r="D288" s="64">
        <f t="shared" ca="1" si="29"/>
        <v>18830</v>
      </c>
      <c r="E288" s="64">
        <f t="shared" ca="1" si="30"/>
        <v>9194</v>
      </c>
      <c r="F288" s="89"/>
      <c r="G288" s="89"/>
      <c r="H288" s="47" t="str">
        <f t="shared" ca="1" si="31"/>
        <v>262D</v>
      </c>
      <c r="I288" s="89"/>
      <c r="J288" s="47" t="str">
        <f t="shared" ca="1" si="32"/>
        <v>2229</v>
      </c>
      <c r="K288" s="89"/>
      <c r="L288" s="89"/>
      <c r="M288" s="47" t="str">
        <f t="shared" ca="1" si="33"/>
        <v>498E</v>
      </c>
      <c r="N288" s="89"/>
      <c r="O288" s="47" t="str">
        <f t="shared" ca="1" si="34"/>
        <v>23EA</v>
      </c>
    </row>
    <row r="289" spans="2:15">
      <c r="B289" s="48">
        <f t="shared" ca="1" si="35"/>
        <v>45845</v>
      </c>
      <c r="C289" s="49">
        <f ca="1">BitXOR(B289, $V$16)</f>
        <v>46865</v>
      </c>
      <c r="D289" s="64">
        <f t="shared" ca="1" si="29"/>
        <v>10166</v>
      </c>
      <c r="E289" s="64">
        <f t="shared" ca="1" si="30"/>
        <v>58015</v>
      </c>
      <c r="F289" s="89"/>
      <c r="G289" s="89"/>
      <c r="H289" s="47" t="str">
        <f t="shared" ca="1" si="31"/>
        <v>B315</v>
      </c>
      <c r="I289" s="89"/>
      <c r="J289" s="47" t="str">
        <f t="shared" ca="1" si="32"/>
        <v>B711</v>
      </c>
      <c r="K289" s="89"/>
      <c r="L289" s="89"/>
      <c r="M289" s="47" t="str">
        <f t="shared" ca="1" si="33"/>
        <v>27B6</v>
      </c>
      <c r="N289" s="89"/>
      <c r="O289" s="47" t="str">
        <f t="shared" ca="1" si="34"/>
        <v>E29F</v>
      </c>
    </row>
    <row r="290" spans="2:15">
      <c r="B290" s="48">
        <f t="shared" ca="1" si="35"/>
        <v>54689</v>
      </c>
      <c r="C290" s="49">
        <f ca="1">BitXOR(B290, $V$16)</f>
        <v>53669</v>
      </c>
      <c r="D290" s="64">
        <f t="shared" ca="1" si="29"/>
        <v>45665</v>
      </c>
      <c r="E290" s="64">
        <f t="shared" ca="1" si="30"/>
        <v>3375</v>
      </c>
      <c r="F290" s="89"/>
      <c r="G290" s="89"/>
      <c r="H290" s="47" t="str">
        <f t="shared" ca="1" si="31"/>
        <v>D5A1</v>
      </c>
      <c r="I290" s="89"/>
      <c r="J290" s="47" t="str">
        <f t="shared" ca="1" si="32"/>
        <v>D1A5</v>
      </c>
      <c r="K290" s="89"/>
      <c r="L290" s="89"/>
      <c r="M290" s="47" t="str">
        <f t="shared" ca="1" si="33"/>
        <v>B261</v>
      </c>
      <c r="N290" s="89"/>
      <c r="O290" s="47" t="str">
        <f t="shared" ca="1" si="34"/>
        <v>0D2F</v>
      </c>
    </row>
    <row r="291" spans="2:15">
      <c r="B291" s="48">
        <f t="shared" ca="1" si="35"/>
        <v>61491</v>
      </c>
      <c r="C291" s="49">
        <f ca="1">BitXOR(B291, $V$16)</f>
        <v>62519</v>
      </c>
      <c r="D291" s="64">
        <f t="shared" ca="1" si="29"/>
        <v>47010</v>
      </c>
      <c r="E291" s="64">
        <f t="shared" ca="1" si="30"/>
        <v>14163</v>
      </c>
      <c r="F291" s="89"/>
      <c r="G291" s="89"/>
      <c r="H291" s="47" t="str">
        <f t="shared" ca="1" si="31"/>
        <v>F033</v>
      </c>
      <c r="I291" s="89"/>
      <c r="J291" s="47" t="str">
        <f t="shared" ca="1" si="32"/>
        <v>F437</v>
      </c>
      <c r="K291" s="89"/>
      <c r="L291" s="89"/>
      <c r="M291" s="47" t="str">
        <f t="shared" ca="1" si="33"/>
        <v>B7A2</v>
      </c>
      <c r="N291" s="89"/>
      <c r="O291" s="47" t="str">
        <f t="shared" ca="1" si="34"/>
        <v>3753</v>
      </c>
    </row>
    <row r="292" spans="2:15">
      <c r="B292" s="48">
        <f t="shared" ca="1" si="35"/>
        <v>15229</v>
      </c>
      <c r="C292" s="49">
        <f ca="1">BitXOR(B292, $V$16)</f>
        <v>16249</v>
      </c>
      <c r="D292" s="64">
        <f t="shared" ca="1" si="29"/>
        <v>15869</v>
      </c>
      <c r="E292" s="64">
        <f t="shared" ca="1" si="30"/>
        <v>22777</v>
      </c>
      <c r="F292" s="89"/>
      <c r="G292" s="89"/>
      <c r="H292" s="47" t="str">
        <f t="shared" ca="1" si="31"/>
        <v>3B7D</v>
      </c>
      <c r="I292" s="89"/>
      <c r="J292" s="47" t="str">
        <f t="shared" ca="1" si="32"/>
        <v>3F79</v>
      </c>
      <c r="K292" s="89"/>
      <c r="L292" s="89"/>
      <c r="M292" s="47" t="str">
        <f t="shared" ca="1" si="33"/>
        <v>3DFD</v>
      </c>
      <c r="N292" s="89"/>
      <c r="O292" s="47" t="str">
        <f t="shared" ca="1" si="34"/>
        <v>58F9</v>
      </c>
    </row>
    <row r="293" spans="2:15">
      <c r="B293" s="48">
        <f t="shared" ca="1" si="35"/>
        <v>29676</v>
      </c>
      <c r="C293" s="49">
        <f ca="1">BitXOR(B293, $V$16)</f>
        <v>30696</v>
      </c>
      <c r="D293" s="64">
        <f t="shared" ref="D293:D356" ca="1" si="36">Encrypt(B293, $D$2:$S$3, $D$6:$S$7, $V$10,$V$11,$V$12,$W$10,$W$11)</f>
        <v>24475</v>
      </c>
      <c r="E293" s="64">
        <f t="shared" ref="E293:E356" ca="1" si="37">Encrypt(C293, $D$2:$S$3, $D$6:$S$7, $V$10,$V$11,$V$12,$W$10,$W$11)</f>
        <v>16377</v>
      </c>
      <c r="F293" s="89"/>
      <c r="G293" s="89"/>
      <c r="H293" s="47" t="str">
        <f t="shared" ref="H293:H356" ca="1" si="38">DEC2HEX(B293,4)</f>
        <v>73EC</v>
      </c>
      <c r="I293" s="89"/>
      <c r="J293" s="47" t="str">
        <f t="shared" ref="J293:J356" ca="1" si="39">DEC2HEX(C293,4)</f>
        <v>77E8</v>
      </c>
      <c r="K293" s="89"/>
      <c r="L293" s="89"/>
      <c r="M293" s="47" t="str">
        <f t="shared" ref="M293:M356" ca="1" si="40">DEC2HEX(D293,4)</f>
        <v>5F9B</v>
      </c>
      <c r="N293" s="89"/>
      <c r="O293" s="47" t="str">
        <f t="shared" ref="O293:O356" ca="1" si="41">DEC2HEX(E293,4)</f>
        <v>3FF9</v>
      </c>
    </row>
    <row r="294" spans="2:15">
      <c r="B294" s="48">
        <f t="shared" ca="1" si="35"/>
        <v>45919</v>
      </c>
      <c r="C294" s="49">
        <f ca="1">BitXOR(B294, $V$16)</f>
        <v>46939</v>
      </c>
      <c r="D294" s="64">
        <f t="shared" ca="1" si="36"/>
        <v>60437</v>
      </c>
      <c r="E294" s="64">
        <f t="shared" ca="1" si="37"/>
        <v>6357</v>
      </c>
      <c r="F294" s="89"/>
      <c r="G294" s="89"/>
      <c r="H294" s="47" t="str">
        <f t="shared" ca="1" si="38"/>
        <v>B35F</v>
      </c>
      <c r="I294" s="89"/>
      <c r="J294" s="47" t="str">
        <f t="shared" ca="1" si="39"/>
        <v>B75B</v>
      </c>
      <c r="K294" s="89"/>
      <c r="L294" s="89"/>
      <c r="M294" s="47" t="str">
        <f t="shared" ca="1" si="40"/>
        <v>EC15</v>
      </c>
      <c r="N294" s="89"/>
      <c r="O294" s="47" t="str">
        <f t="shared" ca="1" si="41"/>
        <v>18D5</v>
      </c>
    </row>
    <row r="295" spans="2:15">
      <c r="B295" s="48">
        <f t="shared" ca="1" si="35"/>
        <v>62352</v>
      </c>
      <c r="C295" s="49">
        <f ca="1">BitXOR(B295, $V$16)</f>
        <v>63380</v>
      </c>
      <c r="D295" s="64">
        <f t="shared" ca="1" si="36"/>
        <v>60611</v>
      </c>
      <c r="E295" s="64">
        <f t="shared" ca="1" si="37"/>
        <v>18627</v>
      </c>
      <c r="F295" s="89"/>
      <c r="G295" s="89"/>
      <c r="H295" s="47" t="str">
        <f t="shared" ca="1" si="38"/>
        <v>F390</v>
      </c>
      <c r="I295" s="89"/>
      <c r="J295" s="47" t="str">
        <f t="shared" ca="1" si="39"/>
        <v>F794</v>
      </c>
      <c r="K295" s="89"/>
      <c r="L295" s="89"/>
      <c r="M295" s="47" t="str">
        <f t="shared" ca="1" si="40"/>
        <v>ECC3</v>
      </c>
      <c r="N295" s="89"/>
      <c r="O295" s="47" t="str">
        <f t="shared" ca="1" si="41"/>
        <v>48C3</v>
      </c>
    </row>
    <row r="296" spans="2:15">
      <c r="B296" s="48">
        <f t="shared" ca="1" si="35"/>
        <v>33919</v>
      </c>
      <c r="C296" s="49">
        <f ca="1">BitXOR(B296, $V$16)</f>
        <v>32891</v>
      </c>
      <c r="D296" s="64">
        <f t="shared" ca="1" si="36"/>
        <v>31742</v>
      </c>
      <c r="E296" s="64">
        <f t="shared" ca="1" si="37"/>
        <v>30217</v>
      </c>
      <c r="F296" s="89"/>
      <c r="G296" s="89"/>
      <c r="H296" s="47" t="str">
        <f t="shared" ca="1" si="38"/>
        <v>847F</v>
      </c>
      <c r="I296" s="89"/>
      <c r="J296" s="47" t="str">
        <f t="shared" ca="1" si="39"/>
        <v>807B</v>
      </c>
      <c r="K296" s="89"/>
      <c r="L296" s="89"/>
      <c r="M296" s="47" t="str">
        <f t="shared" ca="1" si="40"/>
        <v>7BFE</v>
      </c>
      <c r="N296" s="89"/>
      <c r="O296" s="47" t="str">
        <f t="shared" ca="1" si="41"/>
        <v>7609</v>
      </c>
    </row>
    <row r="297" spans="2:15">
      <c r="B297" s="48">
        <f t="shared" ca="1" si="35"/>
        <v>7459</v>
      </c>
      <c r="C297" s="49">
        <f ca="1">BitXOR(B297, $V$16)</f>
        <v>6439</v>
      </c>
      <c r="D297" s="64">
        <f t="shared" ca="1" si="36"/>
        <v>50944</v>
      </c>
      <c r="E297" s="64">
        <f t="shared" ca="1" si="37"/>
        <v>63388</v>
      </c>
      <c r="F297" s="89"/>
      <c r="G297" s="89"/>
      <c r="H297" s="47" t="str">
        <f t="shared" ca="1" si="38"/>
        <v>1D23</v>
      </c>
      <c r="I297" s="89"/>
      <c r="J297" s="47" t="str">
        <f t="shared" ca="1" si="39"/>
        <v>1927</v>
      </c>
      <c r="K297" s="89"/>
      <c r="L297" s="89"/>
      <c r="M297" s="47" t="str">
        <f t="shared" ca="1" si="40"/>
        <v>C700</v>
      </c>
      <c r="N297" s="89"/>
      <c r="O297" s="47" t="str">
        <f t="shared" ca="1" si="41"/>
        <v>F79C</v>
      </c>
    </row>
    <row r="298" spans="2:15">
      <c r="B298" s="48">
        <f t="shared" ca="1" si="35"/>
        <v>24041</v>
      </c>
      <c r="C298" s="49">
        <f ca="1">BitXOR(B298, $V$16)</f>
        <v>23021</v>
      </c>
      <c r="D298" s="64">
        <f t="shared" ca="1" si="36"/>
        <v>19352</v>
      </c>
      <c r="E298" s="64">
        <f t="shared" ca="1" si="37"/>
        <v>19254</v>
      </c>
      <c r="F298" s="89"/>
      <c r="G298" s="89"/>
      <c r="H298" s="47" t="str">
        <f t="shared" ca="1" si="38"/>
        <v>5DE9</v>
      </c>
      <c r="I298" s="89"/>
      <c r="J298" s="47" t="str">
        <f t="shared" ca="1" si="39"/>
        <v>59ED</v>
      </c>
      <c r="K298" s="89"/>
      <c r="L298" s="89"/>
      <c r="M298" s="47" t="str">
        <f t="shared" ca="1" si="40"/>
        <v>4B98</v>
      </c>
      <c r="N298" s="89"/>
      <c r="O298" s="47" t="str">
        <f t="shared" ca="1" si="41"/>
        <v>4B36</v>
      </c>
    </row>
    <row r="299" spans="2:15">
      <c r="B299" s="48">
        <f t="shared" ca="1" si="35"/>
        <v>53910</v>
      </c>
      <c r="C299" s="49">
        <f ca="1">BitXOR(B299, $V$16)</f>
        <v>54930</v>
      </c>
      <c r="D299" s="64">
        <f t="shared" ca="1" si="36"/>
        <v>14821</v>
      </c>
      <c r="E299" s="64">
        <f t="shared" ca="1" si="37"/>
        <v>17723</v>
      </c>
      <c r="F299" s="89"/>
      <c r="G299" s="89"/>
      <c r="H299" s="47" t="str">
        <f t="shared" ca="1" si="38"/>
        <v>D296</v>
      </c>
      <c r="I299" s="89"/>
      <c r="J299" s="47" t="str">
        <f t="shared" ca="1" si="39"/>
        <v>D692</v>
      </c>
      <c r="K299" s="89"/>
      <c r="L299" s="89"/>
      <c r="M299" s="47" t="str">
        <f t="shared" ca="1" si="40"/>
        <v>39E5</v>
      </c>
      <c r="N299" s="89"/>
      <c r="O299" s="47" t="str">
        <f t="shared" ca="1" si="41"/>
        <v>453B</v>
      </c>
    </row>
    <row r="300" spans="2:15">
      <c r="B300" s="48">
        <f t="shared" ca="1" si="35"/>
        <v>29358</v>
      </c>
      <c r="C300" s="49">
        <f ca="1">BitXOR(B300, $V$16)</f>
        <v>30378</v>
      </c>
      <c r="D300" s="64">
        <f t="shared" ca="1" si="36"/>
        <v>31087</v>
      </c>
      <c r="E300" s="64">
        <f t="shared" ca="1" si="37"/>
        <v>13639</v>
      </c>
      <c r="F300" s="89"/>
      <c r="G300" s="89"/>
      <c r="H300" s="47" t="str">
        <f t="shared" ca="1" si="38"/>
        <v>72AE</v>
      </c>
      <c r="I300" s="89"/>
      <c r="J300" s="47" t="str">
        <f t="shared" ca="1" si="39"/>
        <v>76AA</v>
      </c>
      <c r="K300" s="89"/>
      <c r="L300" s="89"/>
      <c r="M300" s="47" t="str">
        <f t="shared" ca="1" si="40"/>
        <v>796F</v>
      </c>
      <c r="N300" s="89"/>
      <c r="O300" s="47" t="str">
        <f t="shared" ca="1" si="41"/>
        <v>3547</v>
      </c>
    </row>
    <row r="301" spans="2:15">
      <c r="B301" s="48">
        <f t="shared" ca="1" si="35"/>
        <v>54264</v>
      </c>
      <c r="C301" s="49">
        <f ca="1">BitXOR(B301, $V$16)</f>
        <v>55292</v>
      </c>
      <c r="D301" s="64">
        <f t="shared" ca="1" si="36"/>
        <v>20983</v>
      </c>
      <c r="E301" s="64">
        <f t="shared" ca="1" si="37"/>
        <v>56097</v>
      </c>
      <c r="F301" s="89"/>
      <c r="G301" s="89"/>
      <c r="H301" s="47" t="str">
        <f t="shared" ca="1" si="38"/>
        <v>D3F8</v>
      </c>
      <c r="I301" s="89"/>
      <c r="J301" s="47" t="str">
        <f t="shared" ca="1" si="39"/>
        <v>D7FC</v>
      </c>
      <c r="K301" s="89"/>
      <c r="L301" s="89"/>
      <c r="M301" s="47" t="str">
        <f t="shared" ca="1" si="40"/>
        <v>51F7</v>
      </c>
      <c r="N301" s="89"/>
      <c r="O301" s="47" t="str">
        <f t="shared" ca="1" si="41"/>
        <v>DB21</v>
      </c>
    </row>
    <row r="302" spans="2:15">
      <c r="B302" s="48">
        <f t="shared" ca="1" si="35"/>
        <v>26717</v>
      </c>
      <c r="C302" s="49">
        <f ca="1">BitXOR(B302, $V$16)</f>
        <v>27737</v>
      </c>
      <c r="D302" s="64">
        <f t="shared" ca="1" si="36"/>
        <v>10591</v>
      </c>
      <c r="E302" s="64">
        <f t="shared" ca="1" si="37"/>
        <v>8729</v>
      </c>
      <c r="F302" s="89"/>
      <c r="G302" s="89"/>
      <c r="H302" s="47" t="str">
        <f t="shared" ca="1" si="38"/>
        <v>685D</v>
      </c>
      <c r="I302" s="89"/>
      <c r="J302" s="47" t="str">
        <f t="shared" ca="1" si="39"/>
        <v>6C59</v>
      </c>
      <c r="K302" s="89"/>
      <c r="L302" s="89"/>
      <c r="M302" s="47" t="str">
        <f t="shared" ca="1" si="40"/>
        <v>295F</v>
      </c>
      <c r="N302" s="89"/>
      <c r="O302" s="47" t="str">
        <f t="shared" ca="1" si="41"/>
        <v>2219</v>
      </c>
    </row>
    <row r="303" spans="2:15">
      <c r="B303" s="48">
        <f t="shared" ca="1" si="35"/>
        <v>2056</v>
      </c>
      <c r="C303" s="49">
        <f ca="1">BitXOR(B303, $V$16)</f>
        <v>3084</v>
      </c>
      <c r="D303" s="64">
        <f t="shared" ca="1" si="36"/>
        <v>17555</v>
      </c>
      <c r="E303" s="64">
        <f t="shared" ca="1" si="37"/>
        <v>18980</v>
      </c>
      <c r="F303" s="89"/>
      <c r="G303" s="89"/>
      <c r="H303" s="47" t="str">
        <f t="shared" ca="1" si="38"/>
        <v>0808</v>
      </c>
      <c r="I303" s="89"/>
      <c r="J303" s="47" t="str">
        <f t="shared" ca="1" si="39"/>
        <v>0C0C</v>
      </c>
      <c r="K303" s="89"/>
      <c r="L303" s="89"/>
      <c r="M303" s="47" t="str">
        <f t="shared" ca="1" si="40"/>
        <v>4493</v>
      </c>
      <c r="N303" s="89"/>
      <c r="O303" s="47" t="str">
        <f t="shared" ca="1" si="41"/>
        <v>4A24</v>
      </c>
    </row>
    <row r="304" spans="2:15">
      <c r="B304" s="48">
        <f t="shared" ca="1" si="35"/>
        <v>27522</v>
      </c>
      <c r="C304" s="49">
        <f ca="1">BitXOR(B304, $V$16)</f>
        <v>28550</v>
      </c>
      <c r="D304" s="64">
        <f t="shared" ca="1" si="36"/>
        <v>42110</v>
      </c>
      <c r="E304" s="64">
        <f t="shared" ca="1" si="37"/>
        <v>7847</v>
      </c>
      <c r="F304" s="89"/>
      <c r="G304" s="89"/>
      <c r="H304" s="47" t="str">
        <f t="shared" ca="1" si="38"/>
        <v>6B82</v>
      </c>
      <c r="I304" s="89"/>
      <c r="J304" s="47" t="str">
        <f t="shared" ca="1" si="39"/>
        <v>6F86</v>
      </c>
      <c r="K304" s="89"/>
      <c r="L304" s="89"/>
      <c r="M304" s="47" t="str">
        <f t="shared" ca="1" si="40"/>
        <v>A47E</v>
      </c>
      <c r="N304" s="89"/>
      <c r="O304" s="47" t="str">
        <f t="shared" ca="1" si="41"/>
        <v>1EA7</v>
      </c>
    </row>
    <row r="305" spans="2:15">
      <c r="B305" s="48">
        <f t="shared" ca="1" si="35"/>
        <v>3772</v>
      </c>
      <c r="C305" s="49">
        <f ca="1">BitXOR(B305, $V$16)</f>
        <v>2744</v>
      </c>
      <c r="D305" s="64">
        <f t="shared" ca="1" si="36"/>
        <v>44025</v>
      </c>
      <c r="E305" s="64">
        <f t="shared" ca="1" si="37"/>
        <v>46578</v>
      </c>
      <c r="F305" s="89"/>
      <c r="G305" s="89"/>
      <c r="H305" s="47" t="str">
        <f t="shared" ca="1" si="38"/>
        <v>0EBC</v>
      </c>
      <c r="I305" s="89"/>
      <c r="J305" s="47" t="str">
        <f t="shared" ca="1" si="39"/>
        <v>0AB8</v>
      </c>
      <c r="K305" s="89"/>
      <c r="L305" s="89"/>
      <c r="M305" s="47" t="str">
        <f t="shared" ca="1" si="40"/>
        <v>ABF9</v>
      </c>
      <c r="N305" s="89"/>
      <c r="O305" s="47" t="str">
        <f t="shared" ca="1" si="41"/>
        <v>B5F2</v>
      </c>
    </row>
    <row r="306" spans="2:15">
      <c r="B306" s="48">
        <f t="shared" ca="1" si="35"/>
        <v>29620</v>
      </c>
      <c r="C306" s="49">
        <f ca="1">BitXOR(B306, $V$16)</f>
        <v>30640</v>
      </c>
      <c r="D306" s="64">
        <f t="shared" ca="1" si="36"/>
        <v>41989</v>
      </c>
      <c r="E306" s="64">
        <f t="shared" ca="1" si="37"/>
        <v>12694</v>
      </c>
      <c r="F306" s="89"/>
      <c r="G306" s="89"/>
      <c r="H306" s="47" t="str">
        <f t="shared" ca="1" si="38"/>
        <v>73B4</v>
      </c>
      <c r="I306" s="89"/>
      <c r="J306" s="47" t="str">
        <f t="shared" ca="1" si="39"/>
        <v>77B0</v>
      </c>
      <c r="K306" s="89"/>
      <c r="L306" s="89"/>
      <c r="M306" s="47" t="str">
        <f t="shared" ca="1" si="40"/>
        <v>A405</v>
      </c>
      <c r="N306" s="89"/>
      <c r="O306" s="47" t="str">
        <f t="shared" ca="1" si="41"/>
        <v>3196</v>
      </c>
    </row>
    <row r="307" spans="2:15">
      <c r="B307" s="48">
        <f t="shared" ca="1" si="35"/>
        <v>21169</v>
      </c>
      <c r="C307" s="49">
        <f ca="1">BitXOR(B307, $V$16)</f>
        <v>22197</v>
      </c>
      <c r="D307" s="64">
        <f t="shared" ca="1" si="36"/>
        <v>8946</v>
      </c>
      <c r="E307" s="64">
        <f t="shared" ca="1" si="37"/>
        <v>56677</v>
      </c>
      <c r="F307" s="89"/>
      <c r="G307" s="89"/>
      <c r="H307" s="47" t="str">
        <f t="shared" ca="1" si="38"/>
        <v>52B1</v>
      </c>
      <c r="I307" s="89"/>
      <c r="J307" s="47" t="str">
        <f t="shared" ca="1" si="39"/>
        <v>56B5</v>
      </c>
      <c r="K307" s="89"/>
      <c r="L307" s="89"/>
      <c r="M307" s="47" t="str">
        <f t="shared" ca="1" si="40"/>
        <v>22F2</v>
      </c>
      <c r="N307" s="89"/>
      <c r="O307" s="47" t="str">
        <f t="shared" ca="1" si="41"/>
        <v>DD65</v>
      </c>
    </row>
    <row r="308" spans="2:15">
      <c r="B308" s="48">
        <f t="shared" ca="1" si="35"/>
        <v>46950</v>
      </c>
      <c r="C308" s="49">
        <f ca="1">BitXOR(B308, $V$16)</f>
        <v>45922</v>
      </c>
      <c r="D308" s="64">
        <f t="shared" ca="1" si="36"/>
        <v>6182</v>
      </c>
      <c r="E308" s="64">
        <f t="shared" ca="1" si="37"/>
        <v>40038</v>
      </c>
      <c r="F308" s="89"/>
      <c r="G308" s="89"/>
      <c r="H308" s="47" t="str">
        <f t="shared" ca="1" si="38"/>
        <v>B766</v>
      </c>
      <c r="I308" s="89"/>
      <c r="J308" s="47" t="str">
        <f t="shared" ca="1" si="39"/>
        <v>B362</v>
      </c>
      <c r="K308" s="89"/>
      <c r="L308" s="89"/>
      <c r="M308" s="47" t="str">
        <f t="shared" ca="1" si="40"/>
        <v>1826</v>
      </c>
      <c r="N308" s="89"/>
      <c r="O308" s="47" t="str">
        <f t="shared" ca="1" si="41"/>
        <v>9C66</v>
      </c>
    </row>
    <row r="309" spans="2:15">
      <c r="B309" s="48">
        <f t="shared" ca="1" si="35"/>
        <v>31261</v>
      </c>
      <c r="C309" s="49">
        <f ca="1">BitXOR(B309, $V$16)</f>
        <v>32281</v>
      </c>
      <c r="D309" s="64">
        <f t="shared" ca="1" si="36"/>
        <v>1894</v>
      </c>
      <c r="E309" s="64">
        <f t="shared" ca="1" si="37"/>
        <v>17104</v>
      </c>
      <c r="F309" s="89"/>
      <c r="G309" s="89"/>
      <c r="H309" s="47" t="str">
        <f t="shared" ca="1" si="38"/>
        <v>7A1D</v>
      </c>
      <c r="I309" s="89"/>
      <c r="J309" s="47" t="str">
        <f t="shared" ca="1" si="39"/>
        <v>7E19</v>
      </c>
      <c r="K309" s="89"/>
      <c r="L309" s="89"/>
      <c r="M309" s="47" t="str">
        <f t="shared" ca="1" si="40"/>
        <v>0766</v>
      </c>
      <c r="N309" s="89"/>
      <c r="O309" s="47" t="str">
        <f t="shared" ca="1" si="41"/>
        <v>42D0</v>
      </c>
    </row>
    <row r="310" spans="2:15">
      <c r="B310" s="48">
        <f t="shared" ca="1" si="35"/>
        <v>42790</v>
      </c>
      <c r="C310" s="49">
        <f ca="1">BitXOR(B310, $V$16)</f>
        <v>41762</v>
      </c>
      <c r="D310" s="64">
        <f t="shared" ca="1" si="36"/>
        <v>49579</v>
      </c>
      <c r="E310" s="64">
        <f t="shared" ca="1" si="37"/>
        <v>1392</v>
      </c>
      <c r="F310" s="89"/>
      <c r="G310" s="89"/>
      <c r="H310" s="47" t="str">
        <f t="shared" ca="1" si="38"/>
        <v>A726</v>
      </c>
      <c r="I310" s="89"/>
      <c r="J310" s="47" t="str">
        <f t="shared" ca="1" si="39"/>
        <v>A322</v>
      </c>
      <c r="K310" s="89"/>
      <c r="L310" s="89"/>
      <c r="M310" s="47" t="str">
        <f t="shared" ca="1" si="40"/>
        <v>C1AB</v>
      </c>
      <c r="N310" s="89"/>
      <c r="O310" s="47" t="str">
        <f t="shared" ca="1" si="41"/>
        <v>0570</v>
      </c>
    </row>
    <row r="311" spans="2:15">
      <c r="B311" s="48">
        <f t="shared" ca="1" si="35"/>
        <v>47615</v>
      </c>
      <c r="C311" s="49">
        <f ca="1">BitXOR(B311, $V$16)</f>
        <v>48635</v>
      </c>
      <c r="D311" s="64">
        <f t="shared" ca="1" si="36"/>
        <v>38430</v>
      </c>
      <c r="E311" s="64">
        <f t="shared" ca="1" si="37"/>
        <v>40001</v>
      </c>
      <c r="F311" s="89"/>
      <c r="G311" s="89"/>
      <c r="H311" s="47" t="str">
        <f t="shared" ca="1" si="38"/>
        <v>B9FF</v>
      </c>
      <c r="I311" s="89"/>
      <c r="J311" s="47" t="str">
        <f t="shared" ca="1" si="39"/>
        <v>BDFB</v>
      </c>
      <c r="K311" s="89"/>
      <c r="L311" s="89"/>
      <c r="M311" s="47" t="str">
        <f t="shared" ca="1" si="40"/>
        <v>961E</v>
      </c>
      <c r="N311" s="89"/>
      <c r="O311" s="47" t="str">
        <f t="shared" ca="1" si="41"/>
        <v>9C41</v>
      </c>
    </row>
    <row r="312" spans="2:15">
      <c r="B312" s="48">
        <f t="shared" ca="1" si="35"/>
        <v>2215</v>
      </c>
      <c r="C312" s="49">
        <f ca="1">BitXOR(B312, $V$16)</f>
        <v>3235</v>
      </c>
      <c r="D312" s="64">
        <f t="shared" ca="1" si="36"/>
        <v>51746</v>
      </c>
      <c r="E312" s="64">
        <f t="shared" ca="1" si="37"/>
        <v>28461</v>
      </c>
      <c r="F312" s="89"/>
      <c r="G312" s="89"/>
      <c r="H312" s="47" t="str">
        <f t="shared" ca="1" si="38"/>
        <v>08A7</v>
      </c>
      <c r="I312" s="89"/>
      <c r="J312" s="47" t="str">
        <f t="shared" ca="1" si="39"/>
        <v>0CA3</v>
      </c>
      <c r="K312" s="89"/>
      <c r="L312" s="89"/>
      <c r="M312" s="47" t="str">
        <f t="shared" ca="1" si="40"/>
        <v>CA22</v>
      </c>
      <c r="N312" s="89"/>
      <c r="O312" s="47" t="str">
        <f t="shared" ca="1" si="41"/>
        <v>6F2D</v>
      </c>
    </row>
    <row r="313" spans="2:15">
      <c r="B313" s="48">
        <f t="shared" ca="1" si="35"/>
        <v>13917</v>
      </c>
      <c r="C313" s="49">
        <f ca="1">BitXOR(B313, $V$16)</f>
        <v>12889</v>
      </c>
      <c r="D313" s="64">
        <f t="shared" ca="1" si="36"/>
        <v>8159</v>
      </c>
      <c r="E313" s="64">
        <f t="shared" ca="1" si="37"/>
        <v>11475</v>
      </c>
      <c r="F313" s="89"/>
      <c r="G313" s="89"/>
      <c r="H313" s="47" t="str">
        <f t="shared" ca="1" si="38"/>
        <v>365D</v>
      </c>
      <c r="I313" s="89"/>
      <c r="J313" s="47" t="str">
        <f t="shared" ca="1" si="39"/>
        <v>3259</v>
      </c>
      <c r="K313" s="89"/>
      <c r="L313" s="89"/>
      <c r="M313" s="47" t="str">
        <f t="shared" ca="1" si="40"/>
        <v>1FDF</v>
      </c>
      <c r="N313" s="89"/>
      <c r="O313" s="47" t="str">
        <f t="shared" ca="1" si="41"/>
        <v>2CD3</v>
      </c>
    </row>
    <row r="314" spans="2:15">
      <c r="B314" s="48">
        <f t="shared" ca="1" si="35"/>
        <v>44087</v>
      </c>
      <c r="C314" s="49">
        <f ca="1">BitXOR(B314, $V$16)</f>
        <v>43059</v>
      </c>
      <c r="D314" s="64">
        <f t="shared" ca="1" si="36"/>
        <v>16306</v>
      </c>
      <c r="E314" s="64">
        <f t="shared" ca="1" si="37"/>
        <v>17224</v>
      </c>
      <c r="F314" s="89"/>
      <c r="G314" s="89"/>
      <c r="H314" s="47" t="str">
        <f t="shared" ca="1" si="38"/>
        <v>AC37</v>
      </c>
      <c r="I314" s="89"/>
      <c r="J314" s="47" t="str">
        <f t="shared" ca="1" si="39"/>
        <v>A833</v>
      </c>
      <c r="K314" s="89"/>
      <c r="L314" s="89"/>
      <c r="M314" s="47" t="str">
        <f t="shared" ca="1" si="40"/>
        <v>3FB2</v>
      </c>
      <c r="N314" s="89"/>
      <c r="O314" s="47" t="str">
        <f t="shared" ca="1" si="41"/>
        <v>4348</v>
      </c>
    </row>
    <row r="315" spans="2:15">
      <c r="B315" s="48">
        <f t="shared" ca="1" si="35"/>
        <v>42960</v>
      </c>
      <c r="C315" s="49">
        <f ca="1">BitXOR(B315, $V$16)</f>
        <v>41940</v>
      </c>
      <c r="D315" s="64">
        <f t="shared" ca="1" si="36"/>
        <v>7164</v>
      </c>
      <c r="E315" s="64">
        <f t="shared" ca="1" si="37"/>
        <v>26431</v>
      </c>
      <c r="F315" s="89"/>
      <c r="G315" s="89"/>
      <c r="H315" s="47" t="str">
        <f t="shared" ca="1" si="38"/>
        <v>A7D0</v>
      </c>
      <c r="I315" s="89"/>
      <c r="J315" s="47" t="str">
        <f t="shared" ca="1" si="39"/>
        <v>A3D4</v>
      </c>
      <c r="K315" s="89"/>
      <c r="L315" s="89"/>
      <c r="M315" s="47" t="str">
        <f t="shared" ca="1" si="40"/>
        <v>1BFC</v>
      </c>
      <c r="N315" s="89"/>
      <c r="O315" s="47" t="str">
        <f t="shared" ca="1" si="41"/>
        <v>673F</v>
      </c>
    </row>
    <row r="316" spans="2:15">
      <c r="B316" s="48">
        <f t="shared" ca="1" si="35"/>
        <v>2991</v>
      </c>
      <c r="C316" s="49">
        <f ca="1">BitXOR(B316, $V$16)</f>
        <v>4011</v>
      </c>
      <c r="D316" s="64">
        <f t="shared" ca="1" si="36"/>
        <v>44175</v>
      </c>
      <c r="E316" s="64">
        <f t="shared" ca="1" si="37"/>
        <v>19679</v>
      </c>
      <c r="F316" s="89"/>
      <c r="G316" s="89"/>
      <c r="H316" s="47" t="str">
        <f t="shared" ca="1" si="38"/>
        <v>0BAF</v>
      </c>
      <c r="I316" s="89"/>
      <c r="J316" s="47" t="str">
        <f t="shared" ca="1" si="39"/>
        <v>0FAB</v>
      </c>
      <c r="K316" s="89"/>
      <c r="L316" s="89"/>
      <c r="M316" s="47" t="str">
        <f t="shared" ca="1" si="40"/>
        <v>AC8F</v>
      </c>
      <c r="N316" s="89"/>
      <c r="O316" s="47" t="str">
        <f t="shared" ca="1" si="41"/>
        <v>4CDF</v>
      </c>
    </row>
    <row r="317" spans="2:15">
      <c r="B317" s="48">
        <f t="shared" ca="1" si="35"/>
        <v>44503</v>
      </c>
      <c r="C317" s="49">
        <f ca="1">BitXOR(B317, $V$16)</f>
        <v>43475</v>
      </c>
      <c r="D317" s="64">
        <f t="shared" ca="1" si="36"/>
        <v>51004</v>
      </c>
      <c r="E317" s="64">
        <f t="shared" ca="1" si="37"/>
        <v>51012</v>
      </c>
      <c r="F317" s="89"/>
      <c r="G317" s="89"/>
      <c r="H317" s="47" t="str">
        <f t="shared" ca="1" si="38"/>
        <v>ADD7</v>
      </c>
      <c r="I317" s="89"/>
      <c r="J317" s="47" t="str">
        <f t="shared" ca="1" si="39"/>
        <v>A9D3</v>
      </c>
      <c r="K317" s="89"/>
      <c r="L317" s="89"/>
      <c r="M317" s="47" t="str">
        <f t="shared" ca="1" si="40"/>
        <v>C73C</v>
      </c>
      <c r="N317" s="89"/>
      <c r="O317" s="47" t="str">
        <f t="shared" ca="1" si="41"/>
        <v>C744</v>
      </c>
    </row>
    <row r="318" spans="2:15">
      <c r="B318" s="48">
        <f t="shared" ca="1" si="35"/>
        <v>45997</v>
      </c>
      <c r="C318" s="49">
        <f ca="1">BitXOR(B318, $V$16)</f>
        <v>47017</v>
      </c>
      <c r="D318" s="64">
        <f t="shared" ca="1" si="36"/>
        <v>49058</v>
      </c>
      <c r="E318" s="64">
        <f t="shared" ca="1" si="37"/>
        <v>49069</v>
      </c>
      <c r="F318" s="89"/>
      <c r="G318" s="89"/>
      <c r="H318" s="47" t="str">
        <f t="shared" ca="1" si="38"/>
        <v>B3AD</v>
      </c>
      <c r="I318" s="89"/>
      <c r="J318" s="47" t="str">
        <f t="shared" ca="1" si="39"/>
        <v>B7A9</v>
      </c>
      <c r="K318" s="89"/>
      <c r="L318" s="89"/>
      <c r="M318" s="47" t="str">
        <f t="shared" ca="1" si="40"/>
        <v>BFA2</v>
      </c>
      <c r="N318" s="89"/>
      <c r="O318" s="47" t="str">
        <f t="shared" ca="1" si="41"/>
        <v>BFAD</v>
      </c>
    </row>
    <row r="319" spans="2:15">
      <c r="B319" s="48">
        <f t="shared" ca="1" si="35"/>
        <v>27231</v>
      </c>
      <c r="C319" s="49">
        <f ca="1">BitXOR(B319, $V$16)</f>
        <v>28251</v>
      </c>
      <c r="D319" s="64">
        <f t="shared" ca="1" si="36"/>
        <v>58667</v>
      </c>
      <c r="E319" s="64">
        <f t="shared" ca="1" si="37"/>
        <v>20153</v>
      </c>
      <c r="F319" s="89"/>
      <c r="G319" s="89"/>
      <c r="H319" s="47" t="str">
        <f t="shared" ca="1" si="38"/>
        <v>6A5F</v>
      </c>
      <c r="I319" s="89"/>
      <c r="J319" s="47" t="str">
        <f t="shared" ca="1" si="39"/>
        <v>6E5B</v>
      </c>
      <c r="K319" s="89"/>
      <c r="L319" s="89"/>
      <c r="M319" s="47" t="str">
        <f t="shared" ca="1" si="40"/>
        <v>E52B</v>
      </c>
      <c r="N319" s="89"/>
      <c r="O319" s="47" t="str">
        <f t="shared" ca="1" si="41"/>
        <v>4EB9</v>
      </c>
    </row>
    <row r="320" spans="2:15">
      <c r="B320" s="48">
        <f t="shared" ca="1" si="35"/>
        <v>37260</v>
      </c>
      <c r="C320" s="49">
        <f ca="1">BitXOR(B320, $V$16)</f>
        <v>38280</v>
      </c>
      <c r="D320" s="64">
        <f t="shared" ca="1" si="36"/>
        <v>27817</v>
      </c>
      <c r="E320" s="64">
        <f t="shared" ca="1" si="37"/>
        <v>9269</v>
      </c>
      <c r="F320" s="89"/>
      <c r="G320" s="89"/>
      <c r="H320" s="47" t="str">
        <f t="shared" ca="1" si="38"/>
        <v>918C</v>
      </c>
      <c r="I320" s="89"/>
      <c r="J320" s="47" t="str">
        <f t="shared" ca="1" si="39"/>
        <v>9588</v>
      </c>
      <c r="K320" s="89"/>
      <c r="L320" s="89"/>
      <c r="M320" s="47" t="str">
        <f t="shared" ca="1" si="40"/>
        <v>6CA9</v>
      </c>
      <c r="N320" s="89"/>
      <c r="O320" s="47" t="str">
        <f t="shared" ca="1" si="41"/>
        <v>2435</v>
      </c>
    </row>
    <row r="321" spans="2:15">
      <c r="B321" s="48">
        <f t="shared" ca="1" si="35"/>
        <v>38000</v>
      </c>
      <c r="C321" s="49">
        <f ca="1">BitXOR(B321, $V$16)</f>
        <v>36980</v>
      </c>
      <c r="D321" s="64">
        <f t="shared" ca="1" si="36"/>
        <v>28938</v>
      </c>
      <c r="E321" s="64">
        <f t="shared" ca="1" si="37"/>
        <v>9800</v>
      </c>
      <c r="F321" s="89"/>
      <c r="G321" s="89"/>
      <c r="H321" s="47" t="str">
        <f t="shared" ca="1" si="38"/>
        <v>9470</v>
      </c>
      <c r="I321" s="89"/>
      <c r="J321" s="47" t="str">
        <f t="shared" ca="1" si="39"/>
        <v>9074</v>
      </c>
      <c r="K321" s="89"/>
      <c r="L321" s="89"/>
      <c r="M321" s="47" t="str">
        <f t="shared" ca="1" si="40"/>
        <v>710A</v>
      </c>
      <c r="N321" s="89"/>
      <c r="O321" s="47" t="str">
        <f t="shared" ca="1" si="41"/>
        <v>2648</v>
      </c>
    </row>
    <row r="322" spans="2:15">
      <c r="B322" s="48">
        <f t="shared" ca="1" si="35"/>
        <v>52740</v>
      </c>
      <c r="C322" s="49">
        <f ca="1">BitXOR(B322, $V$16)</f>
        <v>51712</v>
      </c>
      <c r="D322" s="64">
        <f t="shared" ca="1" si="36"/>
        <v>28672</v>
      </c>
      <c r="E322" s="64">
        <f t="shared" ca="1" si="37"/>
        <v>32256</v>
      </c>
      <c r="F322" s="89"/>
      <c r="G322" s="89"/>
      <c r="H322" s="47" t="str">
        <f t="shared" ca="1" si="38"/>
        <v>CE04</v>
      </c>
      <c r="I322" s="89"/>
      <c r="J322" s="47" t="str">
        <f t="shared" ca="1" si="39"/>
        <v>CA00</v>
      </c>
      <c r="K322" s="89"/>
      <c r="L322" s="89"/>
      <c r="M322" s="47" t="str">
        <f t="shared" ca="1" si="40"/>
        <v>7000</v>
      </c>
      <c r="N322" s="89"/>
      <c r="O322" s="47" t="str">
        <f t="shared" ca="1" si="41"/>
        <v>7E00</v>
      </c>
    </row>
    <row r="323" spans="2:15">
      <c r="B323" s="48">
        <f t="shared" ca="1" si="35"/>
        <v>47607</v>
      </c>
      <c r="C323" s="49">
        <f ca="1">BitXOR(B323, $V$16)</f>
        <v>48627</v>
      </c>
      <c r="D323" s="64">
        <f t="shared" ca="1" si="36"/>
        <v>6914</v>
      </c>
      <c r="E323" s="64">
        <f t="shared" ca="1" si="37"/>
        <v>54417</v>
      </c>
      <c r="F323" s="89"/>
      <c r="G323" s="89"/>
      <c r="H323" s="47" t="str">
        <f t="shared" ca="1" si="38"/>
        <v>B9F7</v>
      </c>
      <c r="I323" s="89"/>
      <c r="J323" s="47" t="str">
        <f t="shared" ca="1" si="39"/>
        <v>BDF3</v>
      </c>
      <c r="K323" s="89"/>
      <c r="L323" s="89"/>
      <c r="M323" s="47" t="str">
        <f t="shared" ca="1" si="40"/>
        <v>1B02</v>
      </c>
      <c r="N323" s="89"/>
      <c r="O323" s="47" t="str">
        <f t="shared" ca="1" si="41"/>
        <v>D491</v>
      </c>
    </row>
    <row r="324" spans="2:15">
      <c r="B324" s="48">
        <f t="shared" ca="1" si="35"/>
        <v>29585</v>
      </c>
      <c r="C324" s="49">
        <f ca="1">BitXOR(B324, $V$16)</f>
        <v>30613</v>
      </c>
      <c r="D324" s="64">
        <f t="shared" ca="1" si="36"/>
        <v>11453</v>
      </c>
      <c r="E324" s="64">
        <f t="shared" ca="1" si="37"/>
        <v>13157</v>
      </c>
      <c r="F324" s="89"/>
      <c r="G324" s="89"/>
      <c r="H324" s="47" t="str">
        <f t="shared" ca="1" si="38"/>
        <v>7391</v>
      </c>
      <c r="I324" s="89"/>
      <c r="J324" s="47" t="str">
        <f t="shared" ca="1" si="39"/>
        <v>7795</v>
      </c>
      <c r="K324" s="89"/>
      <c r="L324" s="89"/>
      <c r="M324" s="47" t="str">
        <f t="shared" ca="1" si="40"/>
        <v>2CBD</v>
      </c>
      <c r="N324" s="89"/>
      <c r="O324" s="47" t="str">
        <f t="shared" ca="1" si="41"/>
        <v>3365</v>
      </c>
    </row>
    <row r="325" spans="2:15">
      <c r="B325" s="48">
        <f t="shared" ca="1" si="35"/>
        <v>36588</v>
      </c>
      <c r="C325" s="49">
        <f ca="1">BitXOR(B325, $V$16)</f>
        <v>35560</v>
      </c>
      <c r="D325" s="64">
        <f t="shared" ca="1" si="36"/>
        <v>50105</v>
      </c>
      <c r="E325" s="64">
        <f t="shared" ca="1" si="37"/>
        <v>57115</v>
      </c>
      <c r="F325" s="89"/>
      <c r="G325" s="89"/>
      <c r="H325" s="47" t="str">
        <f t="shared" ca="1" si="38"/>
        <v>8EEC</v>
      </c>
      <c r="I325" s="89"/>
      <c r="J325" s="47" t="str">
        <f t="shared" ca="1" si="39"/>
        <v>8AE8</v>
      </c>
      <c r="K325" s="89"/>
      <c r="L325" s="89"/>
      <c r="M325" s="47" t="str">
        <f t="shared" ca="1" si="40"/>
        <v>C3B9</v>
      </c>
      <c r="N325" s="89"/>
      <c r="O325" s="47" t="str">
        <f t="shared" ca="1" si="41"/>
        <v>DF1B</v>
      </c>
    </row>
    <row r="326" spans="2:15">
      <c r="B326" s="48">
        <f t="shared" ca="1" si="35"/>
        <v>13524</v>
      </c>
      <c r="C326" s="49">
        <f ca="1">BitXOR(B326, $V$16)</f>
        <v>12496</v>
      </c>
      <c r="D326" s="64">
        <f t="shared" ca="1" si="36"/>
        <v>52019</v>
      </c>
      <c r="E326" s="64">
        <f t="shared" ca="1" si="37"/>
        <v>5154</v>
      </c>
      <c r="F326" s="89"/>
      <c r="G326" s="89"/>
      <c r="H326" s="47" t="str">
        <f t="shared" ca="1" si="38"/>
        <v>34D4</v>
      </c>
      <c r="I326" s="89"/>
      <c r="J326" s="47" t="str">
        <f t="shared" ca="1" si="39"/>
        <v>30D0</v>
      </c>
      <c r="K326" s="89"/>
      <c r="L326" s="89"/>
      <c r="M326" s="47" t="str">
        <f t="shared" ca="1" si="40"/>
        <v>CB33</v>
      </c>
      <c r="N326" s="89"/>
      <c r="O326" s="47" t="str">
        <f t="shared" ca="1" si="41"/>
        <v>1422</v>
      </c>
    </row>
    <row r="327" spans="2:15">
      <c r="B327" s="48">
        <f t="shared" ca="1" si="35"/>
        <v>58476</v>
      </c>
      <c r="C327" s="49">
        <f ca="1">BitXOR(B327, $V$16)</f>
        <v>57448</v>
      </c>
      <c r="D327" s="64">
        <f t="shared" ca="1" si="36"/>
        <v>7286</v>
      </c>
      <c r="E327" s="64">
        <f t="shared" ca="1" si="37"/>
        <v>14912</v>
      </c>
      <c r="F327" s="89"/>
      <c r="G327" s="89"/>
      <c r="H327" s="47" t="str">
        <f t="shared" ca="1" si="38"/>
        <v>E46C</v>
      </c>
      <c r="I327" s="89"/>
      <c r="J327" s="47" t="str">
        <f t="shared" ca="1" si="39"/>
        <v>E068</v>
      </c>
      <c r="K327" s="89"/>
      <c r="L327" s="89"/>
      <c r="M327" s="47" t="str">
        <f t="shared" ca="1" si="40"/>
        <v>1C76</v>
      </c>
      <c r="N327" s="89"/>
      <c r="O327" s="47" t="str">
        <f t="shared" ca="1" si="41"/>
        <v>3A40</v>
      </c>
    </row>
    <row r="328" spans="2:15">
      <c r="B328" s="48">
        <f t="shared" ca="1" si="35"/>
        <v>16632</v>
      </c>
      <c r="C328" s="49">
        <f ca="1">BitXOR(B328, $V$16)</f>
        <v>17660</v>
      </c>
      <c r="D328" s="64">
        <f t="shared" ca="1" si="36"/>
        <v>46426</v>
      </c>
      <c r="E328" s="64">
        <f t="shared" ca="1" si="37"/>
        <v>52827</v>
      </c>
      <c r="F328" s="89"/>
      <c r="G328" s="89"/>
      <c r="H328" s="47" t="str">
        <f t="shared" ca="1" si="38"/>
        <v>40F8</v>
      </c>
      <c r="I328" s="89"/>
      <c r="J328" s="47" t="str">
        <f t="shared" ca="1" si="39"/>
        <v>44FC</v>
      </c>
      <c r="K328" s="89"/>
      <c r="L328" s="89"/>
      <c r="M328" s="47" t="str">
        <f t="shared" ca="1" si="40"/>
        <v>B55A</v>
      </c>
      <c r="N328" s="89"/>
      <c r="O328" s="47" t="str">
        <f t="shared" ca="1" si="41"/>
        <v>CE5B</v>
      </c>
    </row>
    <row r="329" spans="2:15">
      <c r="B329" s="48">
        <f t="shared" ca="1" si="35"/>
        <v>46802</v>
      </c>
      <c r="C329" s="49">
        <f ca="1">BitXOR(B329, $V$16)</f>
        <v>45782</v>
      </c>
      <c r="D329" s="64">
        <f t="shared" ca="1" si="36"/>
        <v>62893</v>
      </c>
      <c r="E329" s="64">
        <f t="shared" ca="1" si="37"/>
        <v>35111</v>
      </c>
      <c r="F329" s="89"/>
      <c r="G329" s="89"/>
      <c r="H329" s="47" t="str">
        <f t="shared" ca="1" si="38"/>
        <v>B6D2</v>
      </c>
      <c r="I329" s="89"/>
      <c r="J329" s="47" t="str">
        <f t="shared" ca="1" si="39"/>
        <v>B2D6</v>
      </c>
      <c r="K329" s="89"/>
      <c r="L329" s="89"/>
      <c r="M329" s="47" t="str">
        <f t="shared" ca="1" si="40"/>
        <v>F5AD</v>
      </c>
      <c r="N329" s="89"/>
      <c r="O329" s="47" t="str">
        <f t="shared" ca="1" si="41"/>
        <v>8927</v>
      </c>
    </row>
    <row r="330" spans="2:15">
      <c r="B330" s="48">
        <f t="shared" ca="1" si="35"/>
        <v>2547</v>
      </c>
      <c r="C330" s="49">
        <f ca="1">BitXOR(B330, $V$16)</f>
        <v>3575</v>
      </c>
      <c r="D330" s="64">
        <f t="shared" ca="1" si="36"/>
        <v>28077</v>
      </c>
      <c r="E330" s="64">
        <f t="shared" ca="1" si="37"/>
        <v>65404</v>
      </c>
      <c r="F330" s="89"/>
      <c r="G330" s="89"/>
      <c r="H330" s="47" t="str">
        <f t="shared" ca="1" si="38"/>
        <v>09F3</v>
      </c>
      <c r="I330" s="89"/>
      <c r="J330" s="47" t="str">
        <f t="shared" ca="1" si="39"/>
        <v>0DF7</v>
      </c>
      <c r="K330" s="89"/>
      <c r="L330" s="89"/>
      <c r="M330" s="47" t="str">
        <f t="shared" ca="1" si="40"/>
        <v>6DAD</v>
      </c>
      <c r="N330" s="89"/>
      <c r="O330" s="47" t="str">
        <f t="shared" ca="1" si="41"/>
        <v>FF7C</v>
      </c>
    </row>
    <row r="331" spans="2:15">
      <c r="B331" s="48">
        <f t="shared" ca="1" si="35"/>
        <v>50435</v>
      </c>
      <c r="C331" s="49">
        <f ca="1">BitXOR(B331, $V$16)</f>
        <v>49415</v>
      </c>
      <c r="D331" s="64">
        <f t="shared" ca="1" si="36"/>
        <v>39828</v>
      </c>
      <c r="E331" s="64">
        <f t="shared" ca="1" si="37"/>
        <v>29340</v>
      </c>
      <c r="F331" s="89"/>
      <c r="G331" s="89"/>
      <c r="H331" s="47" t="str">
        <f t="shared" ca="1" si="38"/>
        <v>C503</v>
      </c>
      <c r="I331" s="89"/>
      <c r="J331" s="47" t="str">
        <f t="shared" ca="1" si="39"/>
        <v>C107</v>
      </c>
      <c r="K331" s="89"/>
      <c r="L331" s="89"/>
      <c r="M331" s="47" t="str">
        <f t="shared" ca="1" si="40"/>
        <v>9B94</v>
      </c>
      <c r="N331" s="89"/>
      <c r="O331" s="47" t="str">
        <f t="shared" ca="1" si="41"/>
        <v>729C</v>
      </c>
    </row>
    <row r="332" spans="2:15">
      <c r="B332" s="48">
        <f t="shared" ca="1" si="35"/>
        <v>12354</v>
      </c>
      <c r="C332" s="49">
        <f ca="1">BitXOR(B332, $V$16)</f>
        <v>13382</v>
      </c>
      <c r="D332" s="64">
        <f t="shared" ca="1" si="36"/>
        <v>64220</v>
      </c>
      <c r="E332" s="64">
        <f t="shared" ca="1" si="37"/>
        <v>57488</v>
      </c>
      <c r="F332" s="89"/>
      <c r="G332" s="89"/>
      <c r="H332" s="47" t="str">
        <f t="shared" ca="1" si="38"/>
        <v>3042</v>
      </c>
      <c r="I332" s="89"/>
      <c r="J332" s="47" t="str">
        <f t="shared" ca="1" si="39"/>
        <v>3446</v>
      </c>
      <c r="K332" s="89"/>
      <c r="L332" s="89"/>
      <c r="M332" s="47" t="str">
        <f t="shared" ca="1" si="40"/>
        <v>FADC</v>
      </c>
      <c r="N332" s="89"/>
      <c r="O332" s="47" t="str">
        <f t="shared" ca="1" si="41"/>
        <v>E090</v>
      </c>
    </row>
    <row r="333" spans="2:15">
      <c r="B333" s="48">
        <f t="shared" ca="1" si="35"/>
        <v>63913</v>
      </c>
      <c r="C333" s="49">
        <f ca="1">BitXOR(B333, $V$16)</f>
        <v>64941</v>
      </c>
      <c r="D333" s="64">
        <f t="shared" ca="1" si="36"/>
        <v>22631</v>
      </c>
      <c r="E333" s="64">
        <f t="shared" ca="1" si="37"/>
        <v>48359</v>
      </c>
      <c r="F333" s="89"/>
      <c r="G333" s="89"/>
      <c r="H333" s="47" t="str">
        <f t="shared" ca="1" si="38"/>
        <v>F9A9</v>
      </c>
      <c r="I333" s="89"/>
      <c r="J333" s="47" t="str">
        <f t="shared" ca="1" si="39"/>
        <v>FDAD</v>
      </c>
      <c r="K333" s="89"/>
      <c r="L333" s="89"/>
      <c r="M333" s="47" t="str">
        <f t="shared" ca="1" si="40"/>
        <v>5867</v>
      </c>
      <c r="N333" s="89"/>
      <c r="O333" s="47" t="str">
        <f t="shared" ca="1" si="41"/>
        <v>BCE7</v>
      </c>
    </row>
    <row r="334" spans="2:15">
      <c r="B334" s="48">
        <f t="shared" ca="1" si="35"/>
        <v>28620</v>
      </c>
      <c r="C334" s="49">
        <f ca="1">BitXOR(B334, $V$16)</f>
        <v>27592</v>
      </c>
      <c r="D334" s="64">
        <f t="shared" ca="1" si="36"/>
        <v>20095</v>
      </c>
      <c r="E334" s="64">
        <f t="shared" ca="1" si="37"/>
        <v>9566</v>
      </c>
      <c r="F334" s="89"/>
      <c r="G334" s="89"/>
      <c r="H334" s="47" t="str">
        <f t="shared" ca="1" si="38"/>
        <v>6FCC</v>
      </c>
      <c r="I334" s="89"/>
      <c r="J334" s="47" t="str">
        <f t="shared" ca="1" si="39"/>
        <v>6BC8</v>
      </c>
      <c r="K334" s="89"/>
      <c r="L334" s="89"/>
      <c r="M334" s="47" t="str">
        <f t="shared" ca="1" si="40"/>
        <v>4E7F</v>
      </c>
      <c r="N334" s="89"/>
      <c r="O334" s="47" t="str">
        <f t="shared" ca="1" si="41"/>
        <v>255E</v>
      </c>
    </row>
    <row r="335" spans="2:15">
      <c r="B335" s="48">
        <f t="shared" ca="1" si="35"/>
        <v>21931</v>
      </c>
      <c r="C335" s="49">
        <f ca="1">BitXOR(B335, $V$16)</f>
        <v>20911</v>
      </c>
      <c r="D335" s="64">
        <f t="shared" ca="1" si="36"/>
        <v>35933</v>
      </c>
      <c r="E335" s="64">
        <f t="shared" ca="1" si="37"/>
        <v>59597</v>
      </c>
      <c r="F335" s="89"/>
      <c r="G335" s="89"/>
      <c r="H335" s="47" t="str">
        <f t="shared" ca="1" si="38"/>
        <v>55AB</v>
      </c>
      <c r="I335" s="89"/>
      <c r="J335" s="47" t="str">
        <f t="shared" ca="1" si="39"/>
        <v>51AF</v>
      </c>
      <c r="K335" s="89"/>
      <c r="L335" s="89"/>
      <c r="M335" s="47" t="str">
        <f t="shared" ca="1" si="40"/>
        <v>8C5D</v>
      </c>
      <c r="N335" s="89"/>
      <c r="O335" s="47" t="str">
        <f t="shared" ca="1" si="41"/>
        <v>E8CD</v>
      </c>
    </row>
    <row r="336" spans="2:15">
      <c r="B336" s="48">
        <f t="shared" ca="1" si="35"/>
        <v>13261</v>
      </c>
      <c r="C336" s="49">
        <f ca="1">BitXOR(B336, $V$16)</f>
        <v>14281</v>
      </c>
      <c r="D336" s="64">
        <f t="shared" ca="1" si="36"/>
        <v>49475</v>
      </c>
      <c r="E336" s="64">
        <f t="shared" ca="1" si="37"/>
        <v>49484</v>
      </c>
      <c r="F336" s="89"/>
      <c r="G336" s="89"/>
      <c r="H336" s="47" t="str">
        <f t="shared" ca="1" si="38"/>
        <v>33CD</v>
      </c>
      <c r="I336" s="89"/>
      <c r="J336" s="47" t="str">
        <f t="shared" ca="1" si="39"/>
        <v>37C9</v>
      </c>
      <c r="K336" s="89"/>
      <c r="L336" s="89"/>
      <c r="M336" s="47" t="str">
        <f t="shared" ca="1" si="40"/>
        <v>C143</v>
      </c>
      <c r="N336" s="89"/>
      <c r="O336" s="47" t="str">
        <f t="shared" ca="1" si="41"/>
        <v>C14C</v>
      </c>
    </row>
    <row r="337" spans="2:15">
      <c r="B337" s="48">
        <f t="shared" ca="1" si="35"/>
        <v>15633</v>
      </c>
      <c r="C337" s="49">
        <f ca="1">BitXOR(B337, $V$16)</f>
        <v>14613</v>
      </c>
      <c r="D337" s="64">
        <f t="shared" ca="1" si="36"/>
        <v>5215</v>
      </c>
      <c r="E337" s="64">
        <f t="shared" ca="1" si="37"/>
        <v>7948</v>
      </c>
      <c r="F337" s="89"/>
      <c r="G337" s="89"/>
      <c r="H337" s="47" t="str">
        <f t="shared" ca="1" si="38"/>
        <v>3D11</v>
      </c>
      <c r="I337" s="89"/>
      <c r="J337" s="47" t="str">
        <f t="shared" ca="1" si="39"/>
        <v>3915</v>
      </c>
      <c r="K337" s="89"/>
      <c r="L337" s="89"/>
      <c r="M337" s="47" t="str">
        <f t="shared" ca="1" si="40"/>
        <v>145F</v>
      </c>
      <c r="N337" s="89"/>
      <c r="O337" s="47" t="str">
        <f t="shared" ca="1" si="41"/>
        <v>1F0C</v>
      </c>
    </row>
    <row r="338" spans="2:15">
      <c r="B338" s="48">
        <f t="shared" ca="1" si="35"/>
        <v>31260</v>
      </c>
      <c r="C338" s="49">
        <f ca="1">BitXOR(B338, $V$16)</f>
        <v>32280</v>
      </c>
      <c r="D338" s="64">
        <f t="shared" ca="1" si="36"/>
        <v>15798</v>
      </c>
      <c r="E338" s="64">
        <f t="shared" ca="1" si="37"/>
        <v>17036</v>
      </c>
      <c r="F338" s="89"/>
      <c r="G338" s="89"/>
      <c r="H338" s="47" t="str">
        <f t="shared" ca="1" si="38"/>
        <v>7A1C</v>
      </c>
      <c r="I338" s="89"/>
      <c r="J338" s="47" t="str">
        <f t="shared" ca="1" si="39"/>
        <v>7E18</v>
      </c>
      <c r="K338" s="89"/>
      <c r="L338" s="89"/>
      <c r="M338" s="47" t="str">
        <f t="shared" ca="1" si="40"/>
        <v>3DB6</v>
      </c>
      <c r="N338" s="89"/>
      <c r="O338" s="47" t="str">
        <f t="shared" ca="1" si="41"/>
        <v>428C</v>
      </c>
    </row>
    <row r="339" spans="2:15">
      <c r="B339" s="48">
        <f t="shared" ca="1" si="35"/>
        <v>19747</v>
      </c>
      <c r="C339" s="49">
        <f ca="1">BitXOR(B339, $V$16)</f>
        <v>18727</v>
      </c>
      <c r="D339" s="64">
        <f t="shared" ca="1" si="36"/>
        <v>53069</v>
      </c>
      <c r="E339" s="64">
        <f t="shared" ca="1" si="37"/>
        <v>61210</v>
      </c>
      <c r="F339" s="89"/>
      <c r="G339" s="89"/>
      <c r="H339" s="47" t="str">
        <f t="shared" ca="1" si="38"/>
        <v>4D23</v>
      </c>
      <c r="I339" s="89"/>
      <c r="J339" s="47" t="str">
        <f t="shared" ca="1" si="39"/>
        <v>4927</v>
      </c>
      <c r="K339" s="89"/>
      <c r="L339" s="89"/>
      <c r="M339" s="47" t="str">
        <f t="shared" ca="1" si="40"/>
        <v>CF4D</v>
      </c>
      <c r="N339" s="89"/>
      <c r="O339" s="47" t="str">
        <f t="shared" ca="1" si="41"/>
        <v>EF1A</v>
      </c>
    </row>
    <row r="340" spans="2:15">
      <c r="B340" s="48">
        <f t="shared" ca="1" si="35"/>
        <v>4573</v>
      </c>
      <c r="C340" s="49">
        <f ca="1">BitXOR(B340, $V$16)</f>
        <v>5593</v>
      </c>
      <c r="D340" s="64">
        <f t="shared" ca="1" si="36"/>
        <v>42247</v>
      </c>
      <c r="E340" s="64">
        <f t="shared" ca="1" si="37"/>
        <v>33149</v>
      </c>
      <c r="F340" s="89"/>
      <c r="G340" s="89"/>
      <c r="H340" s="47" t="str">
        <f t="shared" ca="1" si="38"/>
        <v>11DD</v>
      </c>
      <c r="I340" s="89"/>
      <c r="J340" s="47" t="str">
        <f t="shared" ca="1" si="39"/>
        <v>15D9</v>
      </c>
      <c r="K340" s="89"/>
      <c r="L340" s="89"/>
      <c r="M340" s="47" t="str">
        <f t="shared" ca="1" si="40"/>
        <v>A507</v>
      </c>
      <c r="N340" s="89"/>
      <c r="O340" s="47" t="str">
        <f t="shared" ca="1" si="41"/>
        <v>817D</v>
      </c>
    </row>
    <row r="341" spans="2:15">
      <c r="B341" s="48">
        <f t="shared" ca="1" si="35"/>
        <v>23501</v>
      </c>
      <c r="C341" s="49">
        <f ca="1">BitXOR(B341, $V$16)</f>
        <v>24521</v>
      </c>
      <c r="D341" s="64">
        <f t="shared" ca="1" si="36"/>
        <v>10914</v>
      </c>
      <c r="E341" s="64">
        <f t="shared" ca="1" si="37"/>
        <v>9976</v>
      </c>
      <c r="F341" s="89"/>
      <c r="G341" s="89"/>
      <c r="H341" s="47" t="str">
        <f t="shared" ca="1" si="38"/>
        <v>5BCD</v>
      </c>
      <c r="I341" s="89"/>
      <c r="J341" s="47" t="str">
        <f t="shared" ca="1" si="39"/>
        <v>5FC9</v>
      </c>
      <c r="K341" s="89"/>
      <c r="L341" s="89"/>
      <c r="M341" s="47" t="str">
        <f t="shared" ca="1" si="40"/>
        <v>2AA2</v>
      </c>
      <c r="N341" s="89"/>
      <c r="O341" s="47" t="str">
        <f t="shared" ca="1" si="41"/>
        <v>26F8</v>
      </c>
    </row>
    <row r="342" spans="2:15">
      <c r="B342" s="48">
        <f t="shared" ca="1" si="35"/>
        <v>14086</v>
      </c>
      <c r="C342" s="49">
        <f ca="1">BitXOR(B342, $V$16)</f>
        <v>13058</v>
      </c>
      <c r="D342" s="64">
        <f t="shared" ca="1" si="36"/>
        <v>17976</v>
      </c>
      <c r="E342" s="64">
        <f t="shared" ca="1" si="37"/>
        <v>39684</v>
      </c>
      <c r="F342" s="89"/>
      <c r="G342" s="89"/>
      <c r="H342" s="47" t="str">
        <f t="shared" ca="1" si="38"/>
        <v>3706</v>
      </c>
      <c r="I342" s="89"/>
      <c r="J342" s="47" t="str">
        <f t="shared" ca="1" si="39"/>
        <v>3302</v>
      </c>
      <c r="K342" s="89"/>
      <c r="L342" s="89"/>
      <c r="M342" s="47" t="str">
        <f t="shared" ca="1" si="40"/>
        <v>4638</v>
      </c>
      <c r="N342" s="89"/>
      <c r="O342" s="47" t="str">
        <f t="shared" ca="1" si="41"/>
        <v>9B04</v>
      </c>
    </row>
    <row r="343" spans="2:15">
      <c r="B343" s="48">
        <f t="shared" ref="B343:B406" ca="1" si="42">RANDBETWEEN(1,2^16-1)</f>
        <v>21594</v>
      </c>
      <c r="C343" s="49">
        <f ca="1">BitXOR(B343, $V$16)</f>
        <v>20574</v>
      </c>
      <c r="D343" s="64">
        <f t="shared" ca="1" si="36"/>
        <v>7181</v>
      </c>
      <c r="E343" s="64">
        <f t="shared" ca="1" si="37"/>
        <v>7234</v>
      </c>
      <c r="F343" s="89"/>
      <c r="G343" s="89"/>
      <c r="H343" s="47" t="str">
        <f t="shared" ca="1" si="38"/>
        <v>545A</v>
      </c>
      <c r="I343" s="89"/>
      <c r="J343" s="47" t="str">
        <f t="shared" ca="1" si="39"/>
        <v>505E</v>
      </c>
      <c r="K343" s="89"/>
      <c r="L343" s="89"/>
      <c r="M343" s="47" t="str">
        <f t="shared" ca="1" si="40"/>
        <v>1C0D</v>
      </c>
      <c r="N343" s="89"/>
      <c r="O343" s="47" t="str">
        <f t="shared" ca="1" si="41"/>
        <v>1C42</v>
      </c>
    </row>
    <row r="344" spans="2:15">
      <c r="B344" s="48">
        <f t="shared" ca="1" si="42"/>
        <v>26135</v>
      </c>
      <c r="C344" s="49">
        <f ca="1">BitXOR(B344, $V$16)</f>
        <v>25107</v>
      </c>
      <c r="D344" s="64">
        <f t="shared" ca="1" si="36"/>
        <v>10302</v>
      </c>
      <c r="E344" s="64">
        <f t="shared" ca="1" si="37"/>
        <v>9825</v>
      </c>
      <c r="F344" s="89"/>
      <c r="G344" s="89"/>
      <c r="H344" s="47" t="str">
        <f t="shared" ca="1" si="38"/>
        <v>6617</v>
      </c>
      <c r="I344" s="89"/>
      <c r="J344" s="47" t="str">
        <f t="shared" ca="1" si="39"/>
        <v>6213</v>
      </c>
      <c r="K344" s="89"/>
      <c r="L344" s="89"/>
      <c r="M344" s="47" t="str">
        <f t="shared" ca="1" si="40"/>
        <v>283E</v>
      </c>
      <c r="N344" s="89"/>
      <c r="O344" s="47" t="str">
        <f t="shared" ca="1" si="41"/>
        <v>2661</v>
      </c>
    </row>
    <row r="345" spans="2:15">
      <c r="B345" s="48">
        <f t="shared" ca="1" si="42"/>
        <v>17114</v>
      </c>
      <c r="C345" s="49">
        <f ca="1">BitXOR(B345, $V$16)</f>
        <v>18142</v>
      </c>
      <c r="D345" s="64">
        <f t="shared" ca="1" si="36"/>
        <v>56815</v>
      </c>
      <c r="E345" s="64">
        <f t="shared" ca="1" si="37"/>
        <v>35880</v>
      </c>
      <c r="F345" s="89"/>
      <c r="G345" s="89"/>
      <c r="H345" s="47" t="str">
        <f t="shared" ca="1" si="38"/>
        <v>42DA</v>
      </c>
      <c r="I345" s="89"/>
      <c r="J345" s="47" t="str">
        <f t="shared" ca="1" si="39"/>
        <v>46DE</v>
      </c>
      <c r="K345" s="89"/>
      <c r="L345" s="89"/>
      <c r="M345" s="47" t="str">
        <f t="shared" ca="1" si="40"/>
        <v>DDEF</v>
      </c>
      <c r="N345" s="89"/>
      <c r="O345" s="47" t="str">
        <f t="shared" ca="1" si="41"/>
        <v>8C28</v>
      </c>
    </row>
    <row r="346" spans="2:15">
      <c r="B346" s="48">
        <f t="shared" ca="1" si="42"/>
        <v>37225</v>
      </c>
      <c r="C346" s="49">
        <f ca="1">BitXOR(B346, $V$16)</f>
        <v>38253</v>
      </c>
      <c r="D346" s="64">
        <f t="shared" ca="1" si="36"/>
        <v>53481</v>
      </c>
      <c r="E346" s="64">
        <f t="shared" ca="1" si="37"/>
        <v>16165</v>
      </c>
      <c r="F346" s="89"/>
      <c r="G346" s="89"/>
      <c r="H346" s="47" t="str">
        <f t="shared" ca="1" si="38"/>
        <v>9169</v>
      </c>
      <c r="I346" s="89"/>
      <c r="J346" s="47" t="str">
        <f t="shared" ca="1" si="39"/>
        <v>956D</v>
      </c>
      <c r="K346" s="89"/>
      <c r="L346" s="89"/>
      <c r="M346" s="47" t="str">
        <f t="shared" ca="1" si="40"/>
        <v>D0E9</v>
      </c>
      <c r="N346" s="89"/>
      <c r="O346" s="47" t="str">
        <f t="shared" ca="1" si="41"/>
        <v>3F25</v>
      </c>
    </row>
    <row r="347" spans="2:15">
      <c r="B347" s="48">
        <f t="shared" ca="1" si="42"/>
        <v>17562</v>
      </c>
      <c r="C347" s="49">
        <f ca="1">BitXOR(B347, $V$16)</f>
        <v>16542</v>
      </c>
      <c r="D347" s="64">
        <f t="shared" ca="1" si="36"/>
        <v>11522</v>
      </c>
      <c r="E347" s="64">
        <f t="shared" ca="1" si="37"/>
        <v>60830</v>
      </c>
      <c r="F347" s="89"/>
      <c r="G347" s="89"/>
      <c r="H347" s="47" t="str">
        <f t="shared" ca="1" si="38"/>
        <v>449A</v>
      </c>
      <c r="I347" s="89"/>
      <c r="J347" s="47" t="str">
        <f t="shared" ca="1" si="39"/>
        <v>409E</v>
      </c>
      <c r="K347" s="89"/>
      <c r="L347" s="89"/>
      <c r="M347" s="47" t="str">
        <f t="shared" ca="1" si="40"/>
        <v>2D02</v>
      </c>
      <c r="N347" s="89"/>
      <c r="O347" s="47" t="str">
        <f t="shared" ca="1" si="41"/>
        <v>ED9E</v>
      </c>
    </row>
    <row r="348" spans="2:15">
      <c r="B348" s="48">
        <f t="shared" ca="1" si="42"/>
        <v>2413</v>
      </c>
      <c r="C348" s="49">
        <f ca="1">BitXOR(B348, $V$16)</f>
        <v>3433</v>
      </c>
      <c r="D348" s="64">
        <f t="shared" ca="1" si="36"/>
        <v>52280</v>
      </c>
      <c r="E348" s="64">
        <f t="shared" ca="1" si="37"/>
        <v>52377</v>
      </c>
      <c r="F348" s="89"/>
      <c r="G348" s="89"/>
      <c r="H348" s="47" t="str">
        <f t="shared" ca="1" si="38"/>
        <v>096D</v>
      </c>
      <c r="I348" s="89"/>
      <c r="J348" s="47" t="str">
        <f t="shared" ca="1" si="39"/>
        <v>0D69</v>
      </c>
      <c r="K348" s="89"/>
      <c r="L348" s="89"/>
      <c r="M348" s="47" t="str">
        <f t="shared" ca="1" si="40"/>
        <v>CC38</v>
      </c>
      <c r="N348" s="89"/>
      <c r="O348" s="47" t="str">
        <f t="shared" ca="1" si="41"/>
        <v>CC99</v>
      </c>
    </row>
    <row r="349" spans="2:15">
      <c r="B349" s="48">
        <f t="shared" ca="1" si="42"/>
        <v>24088</v>
      </c>
      <c r="C349" s="49">
        <f ca="1">BitXOR(B349, $V$16)</f>
        <v>23068</v>
      </c>
      <c r="D349" s="64">
        <f t="shared" ca="1" si="36"/>
        <v>17028</v>
      </c>
      <c r="E349" s="64">
        <f t="shared" ca="1" si="37"/>
        <v>42736</v>
      </c>
      <c r="F349" s="89"/>
      <c r="G349" s="89"/>
      <c r="H349" s="47" t="str">
        <f t="shared" ca="1" si="38"/>
        <v>5E18</v>
      </c>
      <c r="I349" s="89"/>
      <c r="J349" s="47" t="str">
        <f t="shared" ca="1" si="39"/>
        <v>5A1C</v>
      </c>
      <c r="K349" s="89"/>
      <c r="L349" s="89"/>
      <c r="M349" s="47" t="str">
        <f t="shared" ca="1" si="40"/>
        <v>4284</v>
      </c>
      <c r="N349" s="89"/>
      <c r="O349" s="47" t="str">
        <f t="shared" ca="1" si="41"/>
        <v>A6F0</v>
      </c>
    </row>
    <row r="350" spans="2:15">
      <c r="B350" s="48">
        <f t="shared" ca="1" si="42"/>
        <v>39395</v>
      </c>
      <c r="C350" s="49">
        <f ca="1">BitXOR(B350, $V$16)</f>
        <v>40423</v>
      </c>
      <c r="D350" s="64">
        <f t="shared" ca="1" si="36"/>
        <v>19984</v>
      </c>
      <c r="E350" s="64">
        <f t="shared" ca="1" si="37"/>
        <v>20148</v>
      </c>
      <c r="F350" s="89"/>
      <c r="G350" s="89"/>
      <c r="H350" s="47" t="str">
        <f t="shared" ca="1" si="38"/>
        <v>99E3</v>
      </c>
      <c r="I350" s="89"/>
      <c r="J350" s="47" t="str">
        <f t="shared" ca="1" si="39"/>
        <v>9DE7</v>
      </c>
      <c r="K350" s="89"/>
      <c r="L350" s="89"/>
      <c r="M350" s="47" t="str">
        <f t="shared" ca="1" si="40"/>
        <v>4E10</v>
      </c>
      <c r="N350" s="89"/>
      <c r="O350" s="47" t="str">
        <f t="shared" ca="1" si="41"/>
        <v>4EB4</v>
      </c>
    </row>
    <row r="351" spans="2:15">
      <c r="B351" s="48">
        <f t="shared" ca="1" si="42"/>
        <v>32780</v>
      </c>
      <c r="C351" s="49">
        <f ca="1">BitXOR(B351, $V$16)</f>
        <v>33800</v>
      </c>
      <c r="D351" s="64">
        <f t="shared" ca="1" si="36"/>
        <v>15529</v>
      </c>
      <c r="E351" s="64">
        <f t="shared" ca="1" si="37"/>
        <v>14569</v>
      </c>
      <c r="F351" s="89"/>
      <c r="G351" s="89"/>
      <c r="H351" s="47" t="str">
        <f t="shared" ca="1" si="38"/>
        <v>800C</v>
      </c>
      <c r="I351" s="89"/>
      <c r="J351" s="47" t="str">
        <f t="shared" ca="1" si="39"/>
        <v>8408</v>
      </c>
      <c r="K351" s="89"/>
      <c r="L351" s="89"/>
      <c r="M351" s="47" t="str">
        <f t="shared" ca="1" si="40"/>
        <v>3CA9</v>
      </c>
      <c r="N351" s="89"/>
      <c r="O351" s="47" t="str">
        <f t="shared" ca="1" si="41"/>
        <v>38E9</v>
      </c>
    </row>
    <row r="352" spans="2:15">
      <c r="B352" s="48">
        <f t="shared" ca="1" si="42"/>
        <v>4476</v>
      </c>
      <c r="C352" s="49">
        <f ca="1">BitXOR(B352, $V$16)</f>
        <v>5496</v>
      </c>
      <c r="D352" s="64">
        <f t="shared" ca="1" si="36"/>
        <v>40487</v>
      </c>
      <c r="E352" s="64">
        <f t="shared" ca="1" si="37"/>
        <v>32797</v>
      </c>
      <c r="F352" s="89"/>
      <c r="G352" s="89"/>
      <c r="H352" s="47" t="str">
        <f t="shared" ca="1" si="38"/>
        <v>117C</v>
      </c>
      <c r="I352" s="89"/>
      <c r="J352" s="47" t="str">
        <f t="shared" ca="1" si="39"/>
        <v>1578</v>
      </c>
      <c r="K352" s="89"/>
      <c r="L352" s="89"/>
      <c r="M352" s="47" t="str">
        <f t="shared" ca="1" si="40"/>
        <v>9E27</v>
      </c>
      <c r="N352" s="89"/>
      <c r="O352" s="47" t="str">
        <f t="shared" ca="1" si="41"/>
        <v>801D</v>
      </c>
    </row>
    <row r="353" spans="2:15">
      <c r="B353" s="48">
        <f t="shared" ca="1" si="42"/>
        <v>27898</v>
      </c>
      <c r="C353" s="49">
        <f ca="1">BitXOR(B353, $V$16)</f>
        <v>26878</v>
      </c>
      <c r="D353" s="64">
        <f t="shared" ca="1" si="36"/>
        <v>16601</v>
      </c>
      <c r="E353" s="64">
        <f t="shared" ca="1" si="37"/>
        <v>17548</v>
      </c>
      <c r="F353" s="89"/>
      <c r="G353" s="89"/>
      <c r="H353" s="47" t="str">
        <f t="shared" ca="1" si="38"/>
        <v>6CFA</v>
      </c>
      <c r="I353" s="89"/>
      <c r="J353" s="47" t="str">
        <f t="shared" ca="1" si="39"/>
        <v>68FE</v>
      </c>
      <c r="K353" s="89"/>
      <c r="L353" s="89"/>
      <c r="M353" s="47" t="str">
        <f t="shared" ca="1" si="40"/>
        <v>40D9</v>
      </c>
      <c r="N353" s="89"/>
      <c r="O353" s="47" t="str">
        <f t="shared" ca="1" si="41"/>
        <v>448C</v>
      </c>
    </row>
    <row r="354" spans="2:15">
      <c r="B354" s="48">
        <f t="shared" ca="1" si="42"/>
        <v>27802</v>
      </c>
      <c r="C354" s="49">
        <f ca="1">BitXOR(B354, $V$16)</f>
        <v>26782</v>
      </c>
      <c r="D354" s="64">
        <f t="shared" ca="1" si="36"/>
        <v>62608</v>
      </c>
      <c r="E354" s="64">
        <f t="shared" ca="1" si="37"/>
        <v>50222</v>
      </c>
      <c r="F354" s="89"/>
      <c r="G354" s="89"/>
      <c r="H354" s="47" t="str">
        <f t="shared" ca="1" si="38"/>
        <v>6C9A</v>
      </c>
      <c r="I354" s="89"/>
      <c r="J354" s="47" t="str">
        <f t="shared" ca="1" si="39"/>
        <v>689E</v>
      </c>
      <c r="K354" s="89"/>
      <c r="L354" s="89"/>
      <c r="M354" s="47" t="str">
        <f t="shared" ca="1" si="40"/>
        <v>F490</v>
      </c>
      <c r="N354" s="89"/>
      <c r="O354" s="47" t="str">
        <f t="shared" ca="1" si="41"/>
        <v>C42E</v>
      </c>
    </row>
    <row r="355" spans="2:15">
      <c r="B355" s="48">
        <f t="shared" ca="1" si="42"/>
        <v>2682</v>
      </c>
      <c r="C355" s="49">
        <f ca="1">BitXOR(B355, $V$16)</f>
        <v>3710</v>
      </c>
      <c r="D355" s="64">
        <f t="shared" ca="1" si="36"/>
        <v>19023</v>
      </c>
      <c r="E355" s="64">
        <f t="shared" ca="1" si="37"/>
        <v>12698</v>
      </c>
      <c r="F355" s="89"/>
      <c r="G355" s="89"/>
      <c r="H355" s="47" t="str">
        <f t="shared" ca="1" si="38"/>
        <v>0A7A</v>
      </c>
      <c r="I355" s="89"/>
      <c r="J355" s="47" t="str">
        <f t="shared" ca="1" si="39"/>
        <v>0E7E</v>
      </c>
      <c r="K355" s="89"/>
      <c r="L355" s="89"/>
      <c r="M355" s="47" t="str">
        <f t="shared" ca="1" si="40"/>
        <v>4A4F</v>
      </c>
      <c r="N355" s="89"/>
      <c r="O355" s="47" t="str">
        <f t="shared" ca="1" si="41"/>
        <v>319A</v>
      </c>
    </row>
    <row r="356" spans="2:15">
      <c r="B356" s="48">
        <f t="shared" ca="1" si="42"/>
        <v>50349</v>
      </c>
      <c r="C356" s="49">
        <f ca="1">BitXOR(B356, $V$16)</f>
        <v>49321</v>
      </c>
      <c r="D356" s="64">
        <f t="shared" ca="1" si="36"/>
        <v>40871</v>
      </c>
      <c r="E356" s="64">
        <f t="shared" ca="1" si="37"/>
        <v>48377</v>
      </c>
      <c r="F356" s="89"/>
      <c r="G356" s="89"/>
      <c r="H356" s="47" t="str">
        <f t="shared" ca="1" si="38"/>
        <v>C4AD</v>
      </c>
      <c r="I356" s="89"/>
      <c r="J356" s="47" t="str">
        <f t="shared" ca="1" si="39"/>
        <v>C0A9</v>
      </c>
      <c r="K356" s="89"/>
      <c r="L356" s="89"/>
      <c r="M356" s="47" t="str">
        <f t="shared" ca="1" si="40"/>
        <v>9FA7</v>
      </c>
      <c r="N356" s="89"/>
      <c r="O356" s="47" t="str">
        <f t="shared" ca="1" si="41"/>
        <v>BCF9</v>
      </c>
    </row>
    <row r="357" spans="2:15">
      <c r="B357" s="48">
        <f t="shared" ca="1" si="42"/>
        <v>19035</v>
      </c>
      <c r="C357" s="49">
        <f ca="1">BitXOR(B357, $V$16)</f>
        <v>20063</v>
      </c>
      <c r="D357" s="64">
        <f t="shared" ref="D357:D420" ca="1" si="43">Encrypt(B357, $D$2:$S$3, $D$6:$S$7, $V$10,$V$11,$V$12,$W$10,$W$11)</f>
        <v>6927</v>
      </c>
      <c r="E357" s="64">
        <f t="shared" ref="E357:E420" ca="1" si="44">Encrypt(C357, $D$2:$S$3, $D$6:$S$7, $V$10,$V$11,$V$12,$W$10,$W$11)</f>
        <v>28612</v>
      </c>
      <c r="F357" s="89"/>
      <c r="G357" s="89"/>
      <c r="H357" s="47" t="str">
        <f t="shared" ref="H357:H420" ca="1" si="45">DEC2HEX(B357,4)</f>
        <v>4A5B</v>
      </c>
      <c r="I357" s="89"/>
      <c r="J357" s="47" t="str">
        <f t="shared" ref="J357:J420" ca="1" si="46">DEC2HEX(C357,4)</f>
        <v>4E5F</v>
      </c>
      <c r="K357" s="89"/>
      <c r="L357" s="89"/>
      <c r="M357" s="47" t="str">
        <f t="shared" ref="M357:M420" ca="1" si="47">DEC2HEX(D357,4)</f>
        <v>1B0F</v>
      </c>
      <c r="N357" s="89"/>
      <c r="O357" s="47" t="str">
        <f t="shared" ref="O357:O420" ca="1" si="48">DEC2HEX(E357,4)</f>
        <v>6FC4</v>
      </c>
    </row>
    <row r="358" spans="2:15">
      <c r="B358" s="48">
        <f t="shared" ca="1" si="42"/>
        <v>16976</v>
      </c>
      <c r="C358" s="49">
        <f ca="1">BitXOR(B358, $V$16)</f>
        <v>18004</v>
      </c>
      <c r="D358" s="64">
        <f t="shared" ca="1" si="43"/>
        <v>3855</v>
      </c>
      <c r="E358" s="64">
        <f t="shared" ca="1" si="44"/>
        <v>36048</v>
      </c>
      <c r="F358" s="89"/>
      <c r="G358" s="89"/>
      <c r="H358" s="47" t="str">
        <f t="shared" ca="1" si="45"/>
        <v>4250</v>
      </c>
      <c r="I358" s="89"/>
      <c r="J358" s="47" t="str">
        <f t="shared" ca="1" si="46"/>
        <v>4654</v>
      </c>
      <c r="K358" s="89"/>
      <c r="L358" s="89"/>
      <c r="M358" s="47" t="str">
        <f t="shared" ca="1" si="47"/>
        <v>0F0F</v>
      </c>
      <c r="N358" s="89"/>
      <c r="O358" s="47" t="str">
        <f t="shared" ca="1" si="48"/>
        <v>8CD0</v>
      </c>
    </row>
    <row r="359" spans="2:15">
      <c r="B359" s="48">
        <f t="shared" ca="1" si="42"/>
        <v>9343</v>
      </c>
      <c r="C359" s="49">
        <f ca="1">BitXOR(B359, $V$16)</f>
        <v>8315</v>
      </c>
      <c r="D359" s="64">
        <f t="shared" ca="1" si="43"/>
        <v>15506</v>
      </c>
      <c r="E359" s="64">
        <f t="shared" ca="1" si="44"/>
        <v>32753</v>
      </c>
      <c r="F359" s="89"/>
      <c r="G359" s="89"/>
      <c r="H359" s="47" t="str">
        <f t="shared" ca="1" si="45"/>
        <v>247F</v>
      </c>
      <c r="I359" s="89"/>
      <c r="J359" s="47" t="str">
        <f t="shared" ca="1" si="46"/>
        <v>207B</v>
      </c>
      <c r="K359" s="89"/>
      <c r="L359" s="89"/>
      <c r="M359" s="47" t="str">
        <f t="shared" ca="1" si="47"/>
        <v>3C92</v>
      </c>
      <c r="N359" s="89"/>
      <c r="O359" s="47" t="str">
        <f t="shared" ca="1" si="48"/>
        <v>7FF1</v>
      </c>
    </row>
    <row r="360" spans="2:15">
      <c r="B360" s="48">
        <f t="shared" ca="1" si="42"/>
        <v>32768</v>
      </c>
      <c r="C360" s="49">
        <f ca="1">BitXOR(B360, $V$16)</f>
        <v>33796</v>
      </c>
      <c r="D360" s="64">
        <f t="shared" ca="1" si="43"/>
        <v>57262</v>
      </c>
      <c r="E360" s="64">
        <f t="shared" ca="1" si="44"/>
        <v>32681</v>
      </c>
      <c r="F360" s="89"/>
      <c r="G360" s="89"/>
      <c r="H360" s="47" t="str">
        <f t="shared" ca="1" si="45"/>
        <v>8000</v>
      </c>
      <c r="I360" s="89"/>
      <c r="J360" s="47" t="str">
        <f t="shared" ca="1" si="46"/>
        <v>8404</v>
      </c>
      <c r="K360" s="89"/>
      <c r="L360" s="89"/>
      <c r="M360" s="47" t="str">
        <f t="shared" ca="1" si="47"/>
        <v>DFAE</v>
      </c>
      <c r="N360" s="89"/>
      <c r="O360" s="47" t="str">
        <f t="shared" ca="1" si="48"/>
        <v>7FA9</v>
      </c>
    </row>
    <row r="361" spans="2:15">
      <c r="B361" s="48">
        <f t="shared" ca="1" si="42"/>
        <v>8830</v>
      </c>
      <c r="C361" s="49">
        <f ca="1">BitXOR(B361, $V$16)</f>
        <v>9850</v>
      </c>
      <c r="D361" s="64">
        <f t="shared" ca="1" si="43"/>
        <v>40243</v>
      </c>
      <c r="E361" s="64">
        <f t="shared" ca="1" si="44"/>
        <v>56771</v>
      </c>
      <c r="F361" s="89"/>
      <c r="G361" s="89"/>
      <c r="H361" s="47" t="str">
        <f t="shared" ca="1" si="45"/>
        <v>227E</v>
      </c>
      <c r="I361" s="89"/>
      <c r="J361" s="47" t="str">
        <f t="shared" ca="1" si="46"/>
        <v>267A</v>
      </c>
      <c r="K361" s="89"/>
      <c r="L361" s="89"/>
      <c r="M361" s="47" t="str">
        <f t="shared" ca="1" si="47"/>
        <v>9D33</v>
      </c>
      <c r="N361" s="89"/>
      <c r="O361" s="47" t="str">
        <f t="shared" ca="1" si="48"/>
        <v>DDC3</v>
      </c>
    </row>
    <row r="362" spans="2:15">
      <c r="B362" s="48">
        <f t="shared" ca="1" si="42"/>
        <v>1354</v>
      </c>
      <c r="C362" s="49">
        <f ca="1">BitXOR(B362, $V$16)</f>
        <v>334</v>
      </c>
      <c r="D362" s="64">
        <f t="shared" ca="1" si="43"/>
        <v>27542</v>
      </c>
      <c r="E362" s="64">
        <f t="shared" ca="1" si="44"/>
        <v>500</v>
      </c>
      <c r="F362" s="89"/>
      <c r="G362" s="89"/>
      <c r="H362" s="47" t="str">
        <f t="shared" ca="1" si="45"/>
        <v>054A</v>
      </c>
      <c r="I362" s="89"/>
      <c r="J362" s="47" t="str">
        <f t="shared" ca="1" si="46"/>
        <v>014E</v>
      </c>
      <c r="K362" s="89"/>
      <c r="L362" s="89"/>
      <c r="M362" s="47" t="str">
        <f t="shared" ca="1" si="47"/>
        <v>6B96</v>
      </c>
      <c r="N362" s="89"/>
      <c r="O362" s="47" t="str">
        <f t="shared" ca="1" si="48"/>
        <v>01F4</v>
      </c>
    </row>
    <row r="363" spans="2:15">
      <c r="B363" s="48">
        <f t="shared" ca="1" si="42"/>
        <v>20318</v>
      </c>
      <c r="C363" s="49">
        <f ca="1">BitXOR(B363, $V$16)</f>
        <v>19290</v>
      </c>
      <c r="D363" s="64">
        <f t="shared" ca="1" si="43"/>
        <v>11991</v>
      </c>
      <c r="E363" s="64">
        <f t="shared" ca="1" si="44"/>
        <v>10937</v>
      </c>
      <c r="F363" s="89"/>
      <c r="G363" s="89"/>
      <c r="H363" s="47" t="str">
        <f t="shared" ca="1" si="45"/>
        <v>4F5E</v>
      </c>
      <c r="I363" s="89"/>
      <c r="J363" s="47" t="str">
        <f t="shared" ca="1" si="46"/>
        <v>4B5A</v>
      </c>
      <c r="K363" s="89"/>
      <c r="L363" s="89"/>
      <c r="M363" s="47" t="str">
        <f t="shared" ca="1" si="47"/>
        <v>2ED7</v>
      </c>
      <c r="N363" s="89"/>
      <c r="O363" s="47" t="str">
        <f t="shared" ca="1" si="48"/>
        <v>2AB9</v>
      </c>
    </row>
    <row r="364" spans="2:15">
      <c r="B364" s="48">
        <f t="shared" ca="1" si="42"/>
        <v>7027</v>
      </c>
      <c r="C364" s="49">
        <f ca="1">BitXOR(B364, $V$16)</f>
        <v>8055</v>
      </c>
      <c r="D364" s="64">
        <f t="shared" ca="1" si="43"/>
        <v>36243</v>
      </c>
      <c r="E364" s="64">
        <f t="shared" ca="1" si="44"/>
        <v>16371</v>
      </c>
      <c r="F364" s="89"/>
      <c r="G364" s="89"/>
      <c r="H364" s="47" t="str">
        <f t="shared" ca="1" si="45"/>
        <v>1B73</v>
      </c>
      <c r="I364" s="89"/>
      <c r="J364" s="47" t="str">
        <f t="shared" ca="1" si="46"/>
        <v>1F77</v>
      </c>
      <c r="K364" s="89"/>
      <c r="L364" s="89"/>
      <c r="M364" s="47" t="str">
        <f t="shared" ca="1" si="47"/>
        <v>8D93</v>
      </c>
      <c r="N364" s="89"/>
      <c r="O364" s="47" t="str">
        <f t="shared" ca="1" si="48"/>
        <v>3FF3</v>
      </c>
    </row>
    <row r="365" spans="2:15">
      <c r="B365" s="48">
        <f t="shared" ca="1" si="42"/>
        <v>2786</v>
      </c>
      <c r="C365" s="49">
        <f ca="1">BitXOR(B365, $V$16)</f>
        <v>3814</v>
      </c>
      <c r="D365" s="64">
        <f t="shared" ca="1" si="43"/>
        <v>33948</v>
      </c>
      <c r="E365" s="64">
        <f t="shared" ca="1" si="44"/>
        <v>18636</v>
      </c>
      <c r="F365" s="89"/>
      <c r="G365" s="89"/>
      <c r="H365" s="47" t="str">
        <f t="shared" ca="1" si="45"/>
        <v>0AE2</v>
      </c>
      <c r="I365" s="89"/>
      <c r="J365" s="47" t="str">
        <f t="shared" ca="1" si="46"/>
        <v>0EE6</v>
      </c>
      <c r="K365" s="89"/>
      <c r="L365" s="89"/>
      <c r="M365" s="47" t="str">
        <f t="shared" ca="1" si="47"/>
        <v>849C</v>
      </c>
      <c r="N365" s="89"/>
      <c r="O365" s="47" t="str">
        <f t="shared" ca="1" si="48"/>
        <v>48CC</v>
      </c>
    </row>
    <row r="366" spans="2:15">
      <c r="B366" s="48">
        <f t="shared" ca="1" si="42"/>
        <v>8370</v>
      </c>
      <c r="C366" s="49">
        <f ca="1">BitXOR(B366, $V$16)</f>
        <v>9398</v>
      </c>
      <c r="D366" s="64">
        <f t="shared" ca="1" si="43"/>
        <v>13068</v>
      </c>
      <c r="E366" s="64">
        <f t="shared" ca="1" si="44"/>
        <v>21424</v>
      </c>
      <c r="F366" s="89"/>
      <c r="G366" s="89"/>
      <c r="H366" s="47" t="str">
        <f t="shared" ca="1" si="45"/>
        <v>20B2</v>
      </c>
      <c r="I366" s="89"/>
      <c r="J366" s="47" t="str">
        <f t="shared" ca="1" si="46"/>
        <v>24B6</v>
      </c>
      <c r="K366" s="89"/>
      <c r="L366" s="89"/>
      <c r="M366" s="47" t="str">
        <f t="shared" ca="1" si="47"/>
        <v>330C</v>
      </c>
      <c r="N366" s="89"/>
      <c r="O366" s="47" t="str">
        <f t="shared" ca="1" si="48"/>
        <v>53B0</v>
      </c>
    </row>
    <row r="367" spans="2:15">
      <c r="B367" s="48">
        <f t="shared" ca="1" si="42"/>
        <v>27295</v>
      </c>
      <c r="C367" s="49">
        <f ca="1">BitXOR(B367, $V$16)</f>
        <v>28315</v>
      </c>
      <c r="D367" s="64">
        <f t="shared" ca="1" si="43"/>
        <v>3016</v>
      </c>
      <c r="E367" s="64">
        <f t="shared" ca="1" si="44"/>
        <v>17337</v>
      </c>
      <c r="F367" s="89"/>
      <c r="G367" s="89"/>
      <c r="H367" s="47" t="str">
        <f t="shared" ca="1" si="45"/>
        <v>6A9F</v>
      </c>
      <c r="I367" s="89"/>
      <c r="J367" s="47" t="str">
        <f t="shared" ca="1" si="46"/>
        <v>6E9B</v>
      </c>
      <c r="K367" s="89"/>
      <c r="L367" s="89"/>
      <c r="M367" s="47" t="str">
        <f t="shared" ca="1" si="47"/>
        <v>0BC8</v>
      </c>
      <c r="N367" s="89"/>
      <c r="O367" s="47" t="str">
        <f t="shared" ca="1" si="48"/>
        <v>43B9</v>
      </c>
    </row>
    <row r="368" spans="2:15">
      <c r="B368" s="48">
        <f t="shared" ca="1" si="42"/>
        <v>8327</v>
      </c>
      <c r="C368" s="49">
        <f ca="1">BitXOR(B368, $V$16)</f>
        <v>9347</v>
      </c>
      <c r="D368" s="64">
        <f t="shared" ca="1" si="43"/>
        <v>6108</v>
      </c>
      <c r="E368" s="64">
        <f t="shared" ca="1" si="44"/>
        <v>4396</v>
      </c>
      <c r="F368" s="89"/>
      <c r="G368" s="89"/>
      <c r="H368" s="47" t="str">
        <f t="shared" ca="1" si="45"/>
        <v>2087</v>
      </c>
      <c r="I368" s="89"/>
      <c r="J368" s="47" t="str">
        <f t="shared" ca="1" si="46"/>
        <v>2483</v>
      </c>
      <c r="K368" s="89"/>
      <c r="L368" s="89"/>
      <c r="M368" s="47" t="str">
        <f t="shared" ca="1" si="47"/>
        <v>17DC</v>
      </c>
      <c r="N368" s="89"/>
      <c r="O368" s="47" t="str">
        <f t="shared" ca="1" si="48"/>
        <v>112C</v>
      </c>
    </row>
    <row r="369" spans="2:15">
      <c r="B369" s="48">
        <f t="shared" ca="1" si="42"/>
        <v>18582</v>
      </c>
      <c r="C369" s="49">
        <f ca="1">BitXOR(B369, $V$16)</f>
        <v>19602</v>
      </c>
      <c r="D369" s="64">
        <f t="shared" ca="1" si="43"/>
        <v>17571</v>
      </c>
      <c r="E369" s="64">
        <f t="shared" ca="1" si="44"/>
        <v>59290</v>
      </c>
      <c r="F369" s="89"/>
      <c r="G369" s="89"/>
      <c r="H369" s="47" t="str">
        <f t="shared" ca="1" si="45"/>
        <v>4896</v>
      </c>
      <c r="I369" s="89"/>
      <c r="J369" s="47" t="str">
        <f t="shared" ca="1" si="46"/>
        <v>4C92</v>
      </c>
      <c r="K369" s="89"/>
      <c r="L369" s="89"/>
      <c r="M369" s="47" t="str">
        <f t="shared" ca="1" si="47"/>
        <v>44A3</v>
      </c>
      <c r="N369" s="89"/>
      <c r="O369" s="47" t="str">
        <f t="shared" ca="1" si="48"/>
        <v>E79A</v>
      </c>
    </row>
    <row r="370" spans="2:15">
      <c r="B370" s="48">
        <f t="shared" ca="1" si="42"/>
        <v>2007</v>
      </c>
      <c r="C370" s="49">
        <f ca="1">BitXOR(B370, $V$16)</f>
        <v>979</v>
      </c>
      <c r="D370" s="64">
        <f t="shared" ca="1" si="43"/>
        <v>47660</v>
      </c>
      <c r="E370" s="64">
        <f t="shared" ca="1" si="44"/>
        <v>51916</v>
      </c>
      <c r="F370" s="89"/>
      <c r="G370" s="89"/>
      <c r="H370" s="47" t="str">
        <f t="shared" ca="1" si="45"/>
        <v>07D7</v>
      </c>
      <c r="I370" s="89"/>
      <c r="J370" s="47" t="str">
        <f t="shared" ca="1" si="46"/>
        <v>03D3</v>
      </c>
      <c r="K370" s="89"/>
      <c r="L370" s="89"/>
      <c r="M370" s="47" t="str">
        <f t="shared" ca="1" si="47"/>
        <v>BA2C</v>
      </c>
      <c r="N370" s="89"/>
      <c r="O370" s="47" t="str">
        <f t="shared" ca="1" si="48"/>
        <v>CACC</v>
      </c>
    </row>
    <row r="371" spans="2:15">
      <c r="B371" s="48">
        <f t="shared" ca="1" si="42"/>
        <v>9354</v>
      </c>
      <c r="C371" s="49">
        <f ca="1">BitXOR(B371, $V$16)</f>
        <v>8334</v>
      </c>
      <c r="D371" s="64">
        <f t="shared" ca="1" si="43"/>
        <v>62429</v>
      </c>
      <c r="E371" s="64">
        <f t="shared" ca="1" si="44"/>
        <v>63954</v>
      </c>
      <c r="F371" s="89"/>
      <c r="G371" s="89"/>
      <c r="H371" s="47" t="str">
        <f t="shared" ca="1" si="45"/>
        <v>248A</v>
      </c>
      <c r="I371" s="89"/>
      <c r="J371" s="47" t="str">
        <f t="shared" ca="1" si="46"/>
        <v>208E</v>
      </c>
      <c r="K371" s="89"/>
      <c r="L371" s="89"/>
      <c r="M371" s="47" t="str">
        <f t="shared" ca="1" si="47"/>
        <v>F3DD</v>
      </c>
      <c r="N371" s="89"/>
      <c r="O371" s="47" t="str">
        <f t="shared" ca="1" si="48"/>
        <v>F9D2</v>
      </c>
    </row>
    <row r="372" spans="2:15">
      <c r="B372" s="48">
        <f t="shared" ca="1" si="42"/>
        <v>53870</v>
      </c>
      <c r="C372" s="49">
        <f ca="1">BitXOR(B372, $V$16)</f>
        <v>54890</v>
      </c>
      <c r="D372" s="64">
        <f t="shared" ca="1" si="43"/>
        <v>57163</v>
      </c>
      <c r="E372" s="64">
        <f t="shared" ca="1" si="44"/>
        <v>57097</v>
      </c>
      <c r="F372" s="89"/>
      <c r="G372" s="89"/>
      <c r="H372" s="47" t="str">
        <f t="shared" ca="1" si="45"/>
        <v>D26E</v>
      </c>
      <c r="I372" s="89"/>
      <c r="J372" s="47" t="str">
        <f t="shared" ca="1" si="46"/>
        <v>D66A</v>
      </c>
      <c r="K372" s="89"/>
      <c r="L372" s="89"/>
      <c r="M372" s="47" t="str">
        <f t="shared" ca="1" si="47"/>
        <v>DF4B</v>
      </c>
      <c r="N372" s="89"/>
      <c r="O372" s="47" t="str">
        <f t="shared" ca="1" si="48"/>
        <v>DF09</v>
      </c>
    </row>
    <row r="373" spans="2:15">
      <c r="B373" s="48">
        <f t="shared" ca="1" si="42"/>
        <v>41832</v>
      </c>
      <c r="C373" s="49">
        <f ca="1">BitXOR(B373, $V$16)</f>
        <v>42860</v>
      </c>
      <c r="D373" s="64">
        <f t="shared" ca="1" si="43"/>
        <v>13638</v>
      </c>
      <c r="E373" s="64">
        <f t="shared" ca="1" si="44"/>
        <v>11638</v>
      </c>
      <c r="F373" s="89"/>
      <c r="G373" s="89"/>
      <c r="H373" s="47" t="str">
        <f t="shared" ca="1" si="45"/>
        <v>A368</v>
      </c>
      <c r="I373" s="89"/>
      <c r="J373" s="47" t="str">
        <f t="shared" ca="1" si="46"/>
        <v>A76C</v>
      </c>
      <c r="K373" s="89"/>
      <c r="L373" s="89"/>
      <c r="M373" s="47" t="str">
        <f t="shared" ca="1" si="47"/>
        <v>3546</v>
      </c>
      <c r="N373" s="89"/>
      <c r="O373" s="47" t="str">
        <f t="shared" ca="1" si="48"/>
        <v>2D76</v>
      </c>
    </row>
    <row r="374" spans="2:15">
      <c r="B374" s="48">
        <f t="shared" ca="1" si="42"/>
        <v>60787</v>
      </c>
      <c r="C374" s="49">
        <f ca="1">BitXOR(B374, $V$16)</f>
        <v>59767</v>
      </c>
      <c r="D374" s="64">
        <f t="shared" ca="1" si="43"/>
        <v>41939</v>
      </c>
      <c r="E374" s="64">
        <f t="shared" ca="1" si="44"/>
        <v>58194</v>
      </c>
      <c r="F374" s="89"/>
      <c r="G374" s="89"/>
      <c r="H374" s="47" t="str">
        <f t="shared" ca="1" si="45"/>
        <v>ED73</v>
      </c>
      <c r="I374" s="89"/>
      <c r="J374" s="47" t="str">
        <f t="shared" ca="1" si="46"/>
        <v>E977</v>
      </c>
      <c r="K374" s="89"/>
      <c r="L374" s="89"/>
      <c r="M374" s="47" t="str">
        <f t="shared" ca="1" si="47"/>
        <v>A3D3</v>
      </c>
      <c r="N374" s="89"/>
      <c r="O374" s="47" t="str">
        <f t="shared" ca="1" si="48"/>
        <v>E352</v>
      </c>
    </row>
    <row r="375" spans="2:15">
      <c r="B375" s="48">
        <f t="shared" ca="1" si="42"/>
        <v>62003</v>
      </c>
      <c r="C375" s="49">
        <f ca="1">BitXOR(B375, $V$16)</f>
        <v>63031</v>
      </c>
      <c r="D375" s="64">
        <f t="shared" ca="1" si="43"/>
        <v>30285</v>
      </c>
      <c r="E375" s="64">
        <f t="shared" ca="1" si="44"/>
        <v>30210</v>
      </c>
      <c r="F375" s="89"/>
      <c r="G375" s="89"/>
      <c r="H375" s="47" t="str">
        <f t="shared" ca="1" si="45"/>
        <v>F233</v>
      </c>
      <c r="I375" s="89"/>
      <c r="J375" s="47" t="str">
        <f t="shared" ca="1" si="46"/>
        <v>F637</v>
      </c>
      <c r="K375" s="89"/>
      <c r="L375" s="89"/>
      <c r="M375" s="47" t="str">
        <f t="shared" ca="1" si="47"/>
        <v>764D</v>
      </c>
      <c r="N375" s="89"/>
      <c r="O375" s="47" t="str">
        <f t="shared" ca="1" si="48"/>
        <v>7602</v>
      </c>
    </row>
    <row r="376" spans="2:15">
      <c r="B376" s="48">
        <f t="shared" ca="1" si="42"/>
        <v>24696</v>
      </c>
      <c r="C376" s="49">
        <f ca="1">BitXOR(B376, $V$16)</f>
        <v>25724</v>
      </c>
      <c r="D376" s="64">
        <f t="shared" ca="1" si="43"/>
        <v>45648</v>
      </c>
      <c r="E376" s="64">
        <f t="shared" ca="1" si="44"/>
        <v>41462</v>
      </c>
      <c r="F376" s="89"/>
      <c r="G376" s="89"/>
      <c r="H376" s="47" t="str">
        <f t="shared" ca="1" si="45"/>
        <v>6078</v>
      </c>
      <c r="I376" s="89"/>
      <c r="J376" s="47" t="str">
        <f t="shared" ca="1" si="46"/>
        <v>647C</v>
      </c>
      <c r="K376" s="89"/>
      <c r="L376" s="89"/>
      <c r="M376" s="47" t="str">
        <f t="shared" ca="1" si="47"/>
        <v>B250</v>
      </c>
      <c r="N376" s="89"/>
      <c r="O376" s="47" t="str">
        <f t="shared" ca="1" si="48"/>
        <v>A1F6</v>
      </c>
    </row>
    <row r="377" spans="2:15">
      <c r="B377" s="48">
        <f t="shared" ca="1" si="42"/>
        <v>36592</v>
      </c>
      <c r="C377" s="49">
        <f ca="1">BitXOR(B377, $V$16)</f>
        <v>35572</v>
      </c>
      <c r="D377" s="64">
        <f t="shared" ca="1" si="43"/>
        <v>4154</v>
      </c>
      <c r="E377" s="64">
        <f t="shared" ca="1" si="44"/>
        <v>6487</v>
      </c>
      <c r="F377" s="89"/>
      <c r="G377" s="89"/>
      <c r="H377" s="47" t="str">
        <f t="shared" ca="1" si="45"/>
        <v>8EF0</v>
      </c>
      <c r="I377" s="89"/>
      <c r="J377" s="47" t="str">
        <f t="shared" ca="1" si="46"/>
        <v>8AF4</v>
      </c>
      <c r="K377" s="89"/>
      <c r="L377" s="89"/>
      <c r="M377" s="47" t="str">
        <f t="shared" ca="1" si="47"/>
        <v>103A</v>
      </c>
      <c r="N377" s="89"/>
      <c r="O377" s="47" t="str">
        <f t="shared" ca="1" si="48"/>
        <v>1957</v>
      </c>
    </row>
    <row r="378" spans="2:15">
      <c r="B378" s="48">
        <f t="shared" ca="1" si="42"/>
        <v>52215</v>
      </c>
      <c r="C378" s="49">
        <f ca="1">BitXOR(B378, $V$16)</f>
        <v>53235</v>
      </c>
      <c r="D378" s="64">
        <f t="shared" ca="1" si="43"/>
        <v>2445</v>
      </c>
      <c r="E378" s="64">
        <f t="shared" ca="1" si="44"/>
        <v>35121</v>
      </c>
      <c r="F378" s="89"/>
      <c r="G378" s="89"/>
      <c r="H378" s="47" t="str">
        <f t="shared" ca="1" si="45"/>
        <v>CBF7</v>
      </c>
      <c r="I378" s="89"/>
      <c r="J378" s="47" t="str">
        <f t="shared" ca="1" si="46"/>
        <v>CFF3</v>
      </c>
      <c r="K378" s="89"/>
      <c r="L378" s="89"/>
      <c r="M378" s="47" t="str">
        <f t="shared" ca="1" si="47"/>
        <v>098D</v>
      </c>
      <c r="N378" s="89"/>
      <c r="O378" s="47" t="str">
        <f t="shared" ca="1" si="48"/>
        <v>8931</v>
      </c>
    </row>
    <row r="379" spans="2:15">
      <c r="B379" s="48">
        <f t="shared" ca="1" si="42"/>
        <v>273</v>
      </c>
      <c r="C379" s="49">
        <f ca="1">BitXOR(B379, $V$16)</f>
        <v>1301</v>
      </c>
      <c r="D379" s="64">
        <f t="shared" ca="1" si="43"/>
        <v>20814</v>
      </c>
      <c r="E379" s="64">
        <f t="shared" ca="1" si="44"/>
        <v>11020</v>
      </c>
      <c r="F379" s="89"/>
      <c r="G379" s="89"/>
      <c r="H379" s="47" t="str">
        <f t="shared" ca="1" si="45"/>
        <v>0111</v>
      </c>
      <c r="I379" s="89"/>
      <c r="J379" s="47" t="str">
        <f t="shared" ca="1" si="46"/>
        <v>0515</v>
      </c>
      <c r="K379" s="89"/>
      <c r="L379" s="89"/>
      <c r="M379" s="47" t="str">
        <f t="shared" ca="1" si="47"/>
        <v>514E</v>
      </c>
      <c r="N379" s="89"/>
      <c r="O379" s="47" t="str">
        <f t="shared" ca="1" si="48"/>
        <v>2B0C</v>
      </c>
    </row>
    <row r="380" spans="2:15">
      <c r="B380" s="48">
        <f t="shared" ca="1" si="42"/>
        <v>32910</v>
      </c>
      <c r="C380" s="49">
        <f ca="1">BitXOR(B380, $V$16)</f>
        <v>33930</v>
      </c>
      <c r="D380" s="64">
        <f t="shared" ca="1" si="43"/>
        <v>55562</v>
      </c>
      <c r="E380" s="64">
        <f t="shared" ca="1" si="44"/>
        <v>4734</v>
      </c>
      <c r="F380" s="89"/>
      <c r="G380" s="89"/>
      <c r="H380" s="47" t="str">
        <f t="shared" ca="1" si="45"/>
        <v>808E</v>
      </c>
      <c r="I380" s="89"/>
      <c r="J380" s="47" t="str">
        <f t="shared" ca="1" si="46"/>
        <v>848A</v>
      </c>
      <c r="K380" s="89"/>
      <c r="L380" s="89"/>
      <c r="M380" s="47" t="str">
        <f t="shared" ca="1" si="47"/>
        <v>D90A</v>
      </c>
      <c r="N380" s="89"/>
      <c r="O380" s="47" t="str">
        <f t="shared" ca="1" si="48"/>
        <v>127E</v>
      </c>
    </row>
    <row r="381" spans="2:15">
      <c r="B381" s="48">
        <f t="shared" ca="1" si="42"/>
        <v>45962</v>
      </c>
      <c r="C381" s="49">
        <f ca="1">BitXOR(B381, $V$16)</f>
        <v>46990</v>
      </c>
      <c r="D381" s="64">
        <f t="shared" ca="1" si="43"/>
        <v>1673</v>
      </c>
      <c r="E381" s="64">
        <f t="shared" ca="1" si="44"/>
        <v>4732</v>
      </c>
      <c r="F381" s="89"/>
      <c r="G381" s="89"/>
      <c r="H381" s="47" t="str">
        <f t="shared" ca="1" si="45"/>
        <v>B38A</v>
      </c>
      <c r="I381" s="89"/>
      <c r="J381" s="47" t="str">
        <f t="shared" ca="1" si="46"/>
        <v>B78E</v>
      </c>
      <c r="K381" s="89"/>
      <c r="L381" s="89"/>
      <c r="M381" s="47" t="str">
        <f t="shared" ca="1" si="47"/>
        <v>0689</v>
      </c>
      <c r="N381" s="89"/>
      <c r="O381" s="47" t="str">
        <f t="shared" ca="1" si="48"/>
        <v>127C</v>
      </c>
    </row>
    <row r="382" spans="2:15">
      <c r="B382" s="48">
        <f t="shared" ca="1" si="42"/>
        <v>11648</v>
      </c>
      <c r="C382" s="49">
        <f ca="1">BitXOR(B382, $V$16)</f>
        <v>10628</v>
      </c>
      <c r="D382" s="64">
        <f t="shared" ca="1" si="43"/>
        <v>39235</v>
      </c>
      <c r="E382" s="64">
        <f t="shared" ca="1" si="44"/>
        <v>6304</v>
      </c>
      <c r="F382" s="89"/>
      <c r="G382" s="89"/>
      <c r="H382" s="47" t="str">
        <f t="shared" ca="1" si="45"/>
        <v>2D80</v>
      </c>
      <c r="I382" s="89"/>
      <c r="J382" s="47" t="str">
        <f t="shared" ca="1" si="46"/>
        <v>2984</v>
      </c>
      <c r="K382" s="89"/>
      <c r="L382" s="89"/>
      <c r="M382" s="47" t="str">
        <f t="shared" ca="1" si="47"/>
        <v>9943</v>
      </c>
      <c r="N382" s="89"/>
      <c r="O382" s="47" t="str">
        <f t="shared" ca="1" si="48"/>
        <v>18A0</v>
      </c>
    </row>
    <row r="383" spans="2:15">
      <c r="B383" s="48">
        <f t="shared" ca="1" si="42"/>
        <v>36534</v>
      </c>
      <c r="C383" s="49">
        <f ca="1">BitXOR(B383, $V$16)</f>
        <v>35506</v>
      </c>
      <c r="D383" s="64">
        <f t="shared" ca="1" si="43"/>
        <v>40841</v>
      </c>
      <c r="E383" s="64">
        <f t="shared" ca="1" si="44"/>
        <v>23694</v>
      </c>
      <c r="F383" s="89"/>
      <c r="G383" s="89"/>
      <c r="H383" s="47" t="str">
        <f t="shared" ca="1" si="45"/>
        <v>8EB6</v>
      </c>
      <c r="I383" s="89"/>
      <c r="J383" s="47" t="str">
        <f t="shared" ca="1" si="46"/>
        <v>8AB2</v>
      </c>
      <c r="K383" s="89"/>
      <c r="L383" s="89"/>
      <c r="M383" s="47" t="str">
        <f t="shared" ca="1" si="47"/>
        <v>9F89</v>
      </c>
      <c r="N383" s="89"/>
      <c r="O383" s="47" t="str">
        <f t="shared" ca="1" si="48"/>
        <v>5C8E</v>
      </c>
    </row>
    <row r="384" spans="2:15">
      <c r="B384" s="48">
        <f t="shared" ca="1" si="42"/>
        <v>17781</v>
      </c>
      <c r="C384" s="49">
        <f ca="1">BitXOR(B384, $V$16)</f>
        <v>16753</v>
      </c>
      <c r="D384" s="64">
        <f t="shared" ca="1" si="43"/>
        <v>42737</v>
      </c>
      <c r="E384" s="64">
        <f t="shared" ca="1" si="44"/>
        <v>43310</v>
      </c>
      <c r="F384" s="89"/>
      <c r="G384" s="89"/>
      <c r="H384" s="47" t="str">
        <f t="shared" ca="1" si="45"/>
        <v>4575</v>
      </c>
      <c r="I384" s="89"/>
      <c r="J384" s="47" t="str">
        <f t="shared" ca="1" si="46"/>
        <v>4171</v>
      </c>
      <c r="K384" s="89"/>
      <c r="L384" s="89"/>
      <c r="M384" s="47" t="str">
        <f t="shared" ca="1" si="47"/>
        <v>A6F1</v>
      </c>
      <c r="N384" s="89"/>
      <c r="O384" s="47" t="str">
        <f t="shared" ca="1" si="48"/>
        <v>A92E</v>
      </c>
    </row>
    <row r="385" spans="2:15">
      <c r="B385" s="48">
        <f t="shared" ca="1" si="42"/>
        <v>41722</v>
      </c>
      <c r="C385" s="49">
        <f ca="1">BitXOR(B385, $V$16)</f>
        <v>42750</v>
      </c>
      <c r="D385" s="64">
        <f t="shared" ca="1" si="43"/>
        <v>21409</v>
      </c>
      <c r="E385" s="64">
        <f t="shared" ca="1" si="44"/>
        <v>24242</v>
      </c>
      <c r="F385" s="89"/>
      <c r="G385" s="89"/>
      <c r="H385" s="47" t="str">
        <f t="shared" ca="1" si="45"/>
        <v>A2FA</v>
      </c>
      <c r="I385" s="89"/>
      <c r="J385" s="47" t="str">
        <f t="shared" ca="1" si="46"/>
        <v>A6FE</v>
      </c>
      <c r="K385" s="89"/>
      <c r="L385" s="89"/>
      <c r="M385" s="47" t="str">
        <f t="shared" ca="1" si="47"/>
        <v>53A1</v>
      </c>
      <c r="N385" s="89"/>
      <c r="O385" s="47" t="str">
        <f t="shared" ca="1" si="48"/>
        <v>5EB2</v>
      </c>
    </row>
    <row r="386" spans="2:15">
      <c r="B386" s="48">
        <f t="shared" ca="1" si="42"/>
        <v>10599</v>
      </c>
      <c r="C386" s="49">
        <f ca="1">BitXOR(B386, $V$16)</f>
        <v>11619</v>
      </c>
      <c r="D386" s="64">
        <f t="shared" ca="1" si="43"/>
        <v>6716</v>
      </c>
      <c r="E386" s="64">
        <f t="shared" ca="1" si="44"/>
        <v>5464</v>
      </c>
      <c r="F386" s="89"/>
      <c r="G386" s="89"/>
      <c r="H386" s="47" t="str">
        <f t="shared" ca="1" si="45"/>
        <v>2967</v>
      </c>
      <c r="I386" s="89"/>
      <c r="J386" s="47" t="str">
        <f t="shared" ca="1" si="46"/>
        <v>2D63</v>
      </c>
      <c r="K386" s="89"/>
      <c r="L386" s="89"/>
      <c r="M386" s="47" t="str">
        <f t="shared" ca="1" si="47"/>
        <v>1A3C</v>
      </c>
      <c r="N386" s="89"/>
      <c r="O386" s="47" t="str">
        <f t="shared" ca="1" si="48"/>
        <v>1558</v>
      </c>
    </row>
    <row r="387" spans="2:15">
      <c r="B387" s="48">
        <f t="shared" ca="1" si="42"/>
        <v>52931</v>
      </c>
      <c r="C387" s="49">
        <f ca="1">BitXOR(B387, $V$16)</f>
        <v>51911</v>
      </c>
      <c r="D387" s="64">
        <f t="shared" ca="1" si="43"/>
        <v>10509</v>
      </c>
      <c r="E387" s="64">
        <f t="shared" ca="1" si="44"/>
        <v>2466</v>
      </c>
      <c r="F387" s="89"/>
      <c r="G387" s="89"/>
      <c r="H387" s="47" t="str">
        <f t="shared" ca="1" si="45"/>
        <v>CEC3</v>
      </c>
      <c r="I387" s="89"/>
      <c r="J387" s="47" t="str">
        <f t="shared" ca="1" si="46"/>
        <v>CAC7</v>
      </c>
      <c r="K387" s="89"/>
      <c r="L387" s="89"/>
      <c r="M387" s="47" t="str">
        <f t="shared" ca="1" si="47"/>
        <v>290D</v>
      </c>
      <c r="N387" s="89"/>
      <c r="O387" s="47" t="str">
        <f t="shared" ca="1" si="48"/>
        <v>09A2</v>
      </c>
    </row>
    <row r="388" spans="2:15">
      <c r="B388" s="48">
        <f t="shared" ca="1" si="42"/>
        <v>63937</v>
      </c>
      <c r="C388" s="49">
        <f ca="1">BitXOR(B388, $V$16)</f>
        <v>64965</v>
      </c>
      <c r="D388" s="64">
        <f t="shared" ca="1" si="43"/>
        <v>38622</v>
      </c>
      <c r="E388" s="64">
        <f t="shared" ca="1" si="44"/>
        <v>40633</v>
      </c>
      <c r="F388" s="89"/>
      <c r="G388" s="89"/>
      <c r="H388" s="47" t="str">
        <f t="shared" ca="1" si="45"/>
        <v>F9C1</v>
      </c>
      <c r="I388" s="89"/>
      <c r="J388" s="47" t="str">
        <f t="shared" ca="1" si="46"/>
        <v>FDC5</v>
      </c>
      <c r="K388" s="89"/>
      <c r="L388" s="89"/>
      <c r="M388" s="47" t="str">
        <f t="shared" ca="1" si="47"/>
        <v>96DE</v>
      </c>
      <c r="N388" s="89"/>
      <c r="O388" s="47" t="str">
        <f t="shared" ca="1" si="48"/>
        <v>9EB9</v>
      </c>
    </row>
    <row r="389" spans="2:15">
      <c r="B389" s="48">
        <f t="shared" ca="1" si="42"/>
        <v>29974</v>
      </c>
      <c r="C389" s="49">
        <f ca="1">BitXOR(B389, $V$16)</f>
        <v>28946</v>
      </c>
      <c r="D389" s="64">
        <f t="shared" ca="1" si="43"/>
        <v>27621</v>
      </c>
      <c r="E389" s="64">
        <f t="shared" ca="1" si="44"/>
        <v>58912</v>
      </c>
      <c r="F389" s="89"/>
      <c r="G389" s="89"/>
      <c r="H389" s="47" t="str">
        <f t="shared" ca="1" si="45"/>
        <v>7516</v>
      </c>
      <c r="I389" s="89"/>
      <c r="J389" s="47" t="str">
        <f t="shared" ca="1" si="46"/>
        <v>7112</v>
      </c>
      <c r="K389" s="89"/>
      <c r="L389" s="89"/>
      <c r="M389" s="47" t="str">
        <f t="shared" ca="1" si="47"/>
        <v>6BE5</v>
      </c>
      <c r="N389" s="89"/>
      <c r="O389" s="47" t="str">
        <f t="shared" ca="1" si="48"/>
        <v>E620</v>
      </c>
    </row>
    <row r="390" spans="2:15">
      <c r="B390" s="48">
        <f t="shared" ca="1" si="42"/>
        <v>20865</v>
      </c>
      <c r="C390" s="49">
        <f ca="1">BitXOR(B390, $V$16)</f>
        <v>21893</v>
      </c>
      <c r="D390" s="64">
        <f t="shared" ca="1" si="43"/>
        <v>59470</v>
      </c>
      <c r="E390" s="64">
        <f t="shared" ca="1" si="44"/>
        <v>50355</v>
      </c>
      <c r="F390" s="89"/>
      <c r="G390" s="89"/>
      <c r="H390" s="47" t="str">
        <f t="shared" ca="1" si="45"/>
        <v>5181</v>
      </c>
      <c r="I390" s="89"/>
      <c r="J390" s="47" t="str">
        <f t="shared" ca="1" si="46"/>
        <v>5585</v>
      </c>
      <c r="K390" s="89"/>
      <c r="L390" s="89"/>
      <c r="M390" s="47" t="str">
        <f t="shared" ca="1" si="47"/>
        <v>E84E</v>
      </c>
      <c r="N390" s="89"/>
      <c r="O390" s="47" t="str">
        <f t="shared" ca="1" si="48"/>
        <v>C4B3</v>
      </c>
    </row>
    <row r="391" spans="2:15">
      <c r="B391" s="48">
        <f t="shared" ca="1" si="42"/>
        <v>18426</v>
      </c>
      <c r="C391" s="49">
        <f ca="1">BitXOR(B391, $V$16)</f>
        <v>17406</v>
      </c>
      <c r="D391" s="64">
        <f t="shared" ca="1" si="43"/>
        <v>31029</v>
      </c>
      <c r="E391" s="64">
        <f t="shared" ca="1" si="44"/>
        <v>44031</v>
      </c>
      <c r="F391" s="89"/>
      <c r="G391" s="89"/>
      <c r="H391" s="47" t="str">
        <f t="shared" ca="1" si="45"/>
        <v>47FA</v>
      </c>
      <c r="I391" s="89"/>
      <c r="J391" s="47" t="str">
        <f t="shared" ca="1" si="46"/>
        <v>43FE</v>
      </c>
      <c r="K391" s="89"/>
      <c r="L391" s="89"/>
      <c r="M391" s="47" t="str">
        <f t="shared" ca="1" si="47"/>
        <v>7935</v>
      </c>
      <c r="N391" s="89"/>
      <c r="O391" s="47" t="str">
        <f t="shared" ca="1" si="48"/>
        <v>ABFF</v>
      </c>
    </row>
    <row r="392" spans="2:15">
      <c r="B392" s="48">
        <f t="shared" ca="1" si="42"/>
        <v>41560</v>
      </c>
      <c r="C392" s="49">
        <f ca="1">BitXOR(B392, $V$16)</f>
        <v>42588</v>
      </c>
      <c r="D392" s="64">
        <f t="shared" ca="1" si="43"/>
        <v>3823</v>
      </c>
      <c r="E392" s="64">
        <f t="shared" ca="1" si="44"/>
        <v>3800</v>
      </c>
      <c r="F392" s="89"/>
      <c r="G392" s="89"/>
      <c r="H392" s="47" t="str">
        <f t="shared" ca="1" si="45"/>
        <v>A258</v>
      </c>
      <c r="I392" s="89"/>
      <c r="J392" s="47" t="str">
        <f t="shared" ca="1" si="46"/>
        <v>A65C</v>
      </c>
      <c r="K392" s="89"/>
      <c r="L392" s="89"/>
      <c r="M392" s="47" t="str">
        <f t="shared" ca="1" si="47"/>
        <v>0EEF</v>
      </c>
      <c r="N392" s="89"/>
      <c r="O392" s="47" t="str">
        <f t="shared" ca="1" si="48"/>
        <v>0ED8</v>
      </c>
    </row>
    <row r="393" spans="2:15">
      <c r="B393" s="48">
        <f t="shared" ca="1" si="42"/>
        <v>60199</v>
      </c>
      <c r="C393" s="49">
        <f ca="1">BitXOR(B393, $V$16)</f>
        <v>61219</v>
      </c>
      <c r="D393" s="64">
        <f t="shared" ca="1" si="43"/>
        <v>57107</v>
      </c>
      <c r="E393" s="64">
        <f t="shared" ca="1" si="44"/>
        <v>32931</v>
      </c>
      <c r="F393" s="89"/>
      <c r="G393" s="89"/>
      <c r="H393" s="47" t="str">
        <f t="shared" ca="1" si="45"/>
        <v>EB27</v>
      </c>
      <c r="I393" s="89"/>
      <c r="J393" s="47" t="str">
        <f t="shared" ca="1" si="46"/>
        <v>EF23</v>
      </c>
      <c r="K393" s="89"/>
      <c r="L393" s="89"/>
      <c r="M393" s="47" t="str">
        <f t="shared" ca="1" si="47"/>
        <v>DF13</v>
      </c>
      <c r="N393" s="89"/>
      <c r="O393" s="47" t="str">
        <f t="shared" ca="1" si="48"/>
        <v>80A3</v>
      </c>
    </row>
    <row r="394" spans="2:15">
      <c r="B394" s="48">
        <f t="shared" ca="1" si="42"/>
        <v>641</v>
      </c>
      <c r="C394" s="49">
        <f ca="1">BitXOR(B394, $V$16)</f>
        <v>1669</v>
      </c>
      <c r="D394" s="64">
        <f t="shared" ca="1" si="43"/>
        <v>11490</v>
      </c>
      <c r="E394" s="64">
        <f t="shared" ca="1" si="44"/>
        <v>21813</v>
      </c>
      <c r="F394" s="89"/>
      <c r="G394" s="89"/>
      <c r="H394" s="47" t="str">
        <f t="shared" ca="1" si="45"/>
        <v>0281</v>
      </c>
      <c r="I394" s="89"/>
      <c r="J394" s="47" t="str">
        <f t="shared" ca="1" si="46"/>
        <v>0685</v>
      </c>
      <c r="K394" s="89"/>
      <c r="L394" s="89"/>
      <c r="M394" s="47" t="str">
        <f t="shared" ca="1" si="47"/>
        <v>2CE2</v>
      </c>
      <c r="N394" s="89"/>
      <c r="O394" s="47" t="str">
        <f t="shared" ca="1" si="48"/>
        <v>5535</v>
      </c>
    </row>
    <row r="395" spans="2:15">
      <c r="B395" s="48">
        <f t="shared" ca="1" si="42"/>
        <v>32973</v>
      </c>
      <c r="C395" s="49">
        <f ca="1">BitXOR(B395, $V$16)</f>
        <v>33993</v>
      </c>
      <c r="D395" s="64">
        <f t="shared" ca="1" si="43"/>
        <v>553</v>
      </c>
      <c r="E395" s="64">
        <f t="shared" ca="1" si="44"/>
        <v>53125</v>
      </c>
      <c r="F395" s="89"/>
      <c r="G395" s="89"/>
      <c r="H395" s="47" t="str">
        <f t="shared" ca="1" si="45"/>
        <v>80CD</v>
      </c>
      <c r="I395" s="89"/>
      <c r="J395" s="47" t="str">
        <f t="shared" ca="1" si="46"/>
        <v>84C9</v>
      </c>
      <c r="K395" s="89"/>
      <c r="L395" s="89"/>
      <c r="M395" s="47" t="str">
        <f t="shared" ca="1" si="47"/>
        <v>0229</v>
      </c>
      <c r="N395" s="89"/>
      <c r="O395" s="47" t="str">
        <f t="shared" ca="1" si="48"/>
        <v>CF85</v>
      </c>
    </row>
    <row r="396" spans="2:15">
      <c r="B396" s="48">
        <f t="shared" ca="1" si="42"/>
        <v>18691</v>
      </c>
      <c r="C396" s="49">
        <f ca="1">BitXOR(B396, $V$16)</f>
        <v>19719</v>
      </c>
      <c r="D396" s="64">
        <f t="shared" ca="1" si="43"/>
        <v>16442</v>
      </c>
      <c r="E396" s="64">
        <f t="shared" ca="1" si="44"/>
        <v>16590</v>
      </c>
      <c r="F396" s="89"/>
      <c r="G396" s="89"/>
      <c r="H396" s="47" t="str">
        <f t="shared" ca="1" si="45"/>
        <v>4903</v>
      </c>
      <c r="I396" s="89"/>
      <c r="J396" s="47" t="str">
        <f t="shared" ca="1" si="46"/>
        <v>4D07</v>
      </c>
      <c r="K396" s="89"/>
      <c r="L396" s="89"/>
      <c r="M396" s="47" t="str">
        <f t="shared" ca="1" si="47"/>
        <v>403A</v>
      </c>
      <c r="N396" s="89"/>
      <c r="O396" s="47" t="str">
        <f t="shared" ca="1" si="48"/>
        <v>40CE</v>
      </c>
    </row>
    <row r="397" spans="2:15">
      <c r="B397" s="48">
        <f t="shared" ca="1" si="42"/>
        <v>40461</v>
      </c>
      <c r="C397" s="49">
        <f ca="1">BitXOR(B397, $V$16)</f>
        <v>39433</v>
      </c>
      <c r="D397" s="64">
        <f t="shared" ca="1" si="43"/>
        <v>48139</v>
      </c>
      <c r="E397" s="64">
        <f t="shared" ca="1" si="44"/>
        <v>17664</v>
      </c>
      <c r="F397" s="89"/>
      <c r="G397" s="89"/>
      <c r="H397" s="47" t="str">
        <f t="shared" ca="1" si="45"/>
        <v>9E0D</v>
      </c>
      <c r="I397" s="89"/>
      <c r="J397" s="47" t="str">
        <f t="shared" ca="1" si="46"/>
        <v>9A09</v>
      </c>
      <c r="K397" s="89"/>
      <c r="L397" s="89"/>
      <c r="M397" s="47" t="str">
        <f t="shared" ca="1" si="47"/>
        <v>BC0B</v>
      </c>
      <c r="N397" s="89"/>
      <c r="O397" s="47" t="str">
        <f t="shared" ca="1" si="48"/>
        <v>4500</v>
      </c>
    </row>
    <row r="398" spans="2:15">
      <c r="B398" s="48">
        <f t="shared" ca="1" si="42"/>
        <v>48801</v>
      </c>
      <c r="C398" s="49">
        <f ca="1">BitXOR(B398, $V$16)</f>
        <v>47781</v>
      </c>
      <c r="D398" s="64">
        <f t="shared" ca="1" si="43"/>
        <v>53951</v>
      </c>
      <c r="E398" s="64">
        <f t="shared" ca="1" si="44"/>
        <v>32218</v>
      </c>
      <c r="F398" s="89"/>
      <c r="G398" s="89"/>
      <c r="H398" s="47" t="str">
        <f t="shared" ca="1" si="45"/>
        <v>BEA1</v>
      </c>
      <c r="I398" s="89"/>
      <c r="J398" s="47" t="str">
        <f t="shared" ca="1" si="46"/>
        <v>BAA5</v>
      </c>
      <c r="K398" s="89"/>
      <c r="L398" s="89"/>
      <c r="M398" s="47" t="str">
        <f t="shared" ca="1" si="47"/>
        <v>D2BF</v>
      </c>
      <c r="N398" s="89"/>
      <c r="O398" s="47" t="str">
        <f t="shared" ca="1" si="48"/>
        <v>7DDA</v>
      </c>
    </row>
    <row r="399" spans="2:15">
      <c r="B399" s="48">
        <f t="shared" ca="1" si="42"/>
        <v>26035</v>
      </c>
      <c r="C399" s="49">
        <f ca="1">BitXOR(B399, $V$16)</f>
        <v>25015</v>
      </c>
      <c r="D399" s="64">
        <f t="shared" ca="1" si="43"/>
        <v>22459</v>
      </c>
      <c r="E399" s="64">
        <f t="shared" ca="1" si="44"/>
        <v>29846</v>
      </c>
      <c r="F399" s="89"/>
      <c r="G399" s="89"/>
      <c r="H399" s="47" t="str">
        <f t="shared" ca="1" si="45"/>
        <v>65B3</v>
      </c>
      <c r="I399" s="89"/>
      <c r="J399" s="47" t="str">
        <f t="shared" ca="1" si="46"/>
        <v>61B7</v>
      </c>
      <c r="K399" s="89"/>
      <c r="L399" s="89"/>
      <c r="M399" s="47" t="str">
        <f t="shared" ca="1" si="47"/>
        <v>57BB</v>
      </c>
      <c r="N399" s="89"/>
      <c r="O399" s="47" t="str">
        <f t="shared" ca="1" si="48"/>
        <v>7496</v>
      </c>
    </row>
    <row r="400" spans="2:15">
      <c r="B400" s="48">
        <f t="shared" ca="1" si="42"/>
        <v>24258</v>
      </c>
      <c r="C400" s="49">
        <f ca="1">BitXOR(B400, $V$16)</f>
        <v>23238</v>
      </c>
      <c r="D400" s="64">
        <f t="shared" ca="1" si="43"/>
        <v>58084</v>
      </c>
      <c r="E400" s="64">
        <f t="shared" ca="1" si="44"/>
        <v>55735</v>
      </c>
      <c r="F400" s="89"/>
      <c r="G400" s="89"/>
      <c r="H400" s="47" t="str">
        <f t="shared" ca="1" si="45"/>
        <v>5EC2</v>
      </c>
      <c r="I400" s="89"/>
      <c r="J400" s="47" t="str">
        <f t="shared" ca="1" si="46"/>
        <v>5AC6</v>
      </c>
      <c r="K400" s="89"/>
      <c r="L400" s="89"/>
      <c r="M400" s="47" t="str">
        <f t="shared" ca="1" si="47"/>
        <v>E2E4</v>
      </c>
      <c r="N400" s="89"/>
      <c r="O400" s="47" t="str">
        <f t="shared" ca="1" si="48"/>
        <v>D9B7</v>
      </c>
    </row>
    <row r="401" spans="2:15">
      <c r="B401" s="48">
        <f t="shared" ca="1" si="42"/>
        <v>44237</v>
      </c>
      <c r="C401" s="49">
        <f ca="1">BitXOR(B401, $V$16)</f>
        <v>43209</v>
      </c>
      <c r="D401" s="64">
        <f t="shared" ca="1" si="43"/>
        <v>56887</v>
      </c>
      <c r="E401" s="64">
        <f t="shared" ca="1" si="44"/>
        <v>16877</v>
      </c>
      <c r="F401" s="89"/>
      <c r="G401" s="89"/>
      <c r="H401" s="47" t="str">
        <f t="shared" ca="1" si="45"/>
        <v>ACCD</v>
      </c>
      <c r="I401" s="89"/>
      <c r="J401" s="47" t="str">
        <f t="shared" ca="1" si="46"/>
        <v>A8C9</v>
      </c>
      <c r="K401" s="89"/>
      <c r="L401" s="89"/>
      <c r="M401" s="47" t="str">
        <f t="shared" ca="1" si="47"/>
        <v>DE37</v>
      </c>
      <c r="N401" s="89"/>
      <c r="O401" s="47" t="str">
        <f t="shared" ca="1" si="48"/>
        <v>41ED</v>
      </c>
    </row>
    <row r="402" spans="2:15">
      <c r="B402" s="48">
        <f t="shared" ca="1" si="42"/>
        <v>42910</v>
      </c>
      <c r="C402" s="49">
        <f ca="1">BitXOR(B402, $V$16)</f>
        <v>41882</v>
      </c>
      <c r="D402" s="64">
        <f t="shared" ca="1" si="43"/>
        <v>28072</v>
      </c>
      <c r="E402" s="64">
        <f t="shared" ca="1" si="44"/>
        <v>52903</v>
      </c>
      <c r="F402" s="89"/>
      <c r="G402" s="89"/>
      <c r="H402" s="47" t="str">
        <f t="shared" ca="1" si="45"/>
        <v>A79E</v>
      </c>
      <c r="I402" s="89"/>
      <c r="J402" s="47" t="str">
        <f t="shared" ca="1" si="46"/>
        <v>A39A</v>
      </c>
      <c r="K402" s="89"/>
      <c r="L402" s="89"/>
      <c r="M402" s="47" t="str">
        <f t="shared" ca="1" si="47"/>
        <v>6DA8</v>
      </c>
      <c r="N402" s="89"/>
      <c r="O402" s="47" t="str">
        <f t="shared" ca="1" si="48"/>
        <v>CEA7</v>
      </c>
    </row>
    <row r="403" spans="2:15">
      <c r="B403" s="48">
        <f t="shared" ca="1" si="42"/>
        <v>19492</v>
      </c>
      <c r="C403" s="49">
        <f ca="1">BitXOR(B403, $V$16)</f>
        <v>18464</v>
      </c>
      <c r="D403" s="64">
        <f t="shared" ca="1" si="43"/>
        <v>26074</v>
      </c>
      <c r="E403" s="64">
        <f t="shared" ca="1" si="44"/>
        <v>25946</v>
      </c>
      <c r="F403" s="89"/>
      <c r="G403" s="89"/>
      <c r="H403" s="47" t="str">
        <f t="shared" ca="1" si="45"/>
        <v>4C24</v>
      </c>
      <c r="I403" s="89"/>
      <c r="J403" s="47" t="str">
        <f t="shared" ca="1" si="46"/>
        <v>4820</v>
      </c>
      <c r="K403" s="89"/>
      <c r="L403" s="89"/>
      <c r="M403" s="47" t="str">
        <f t="shared" ca="1" si="47"/>
        <v>65DA</v>
      </c>
      <c r="N403" s="89"/>
      <c r="O403" s="47" t="str">
        <f t="shared" ca="1" si="48"/>
        <v>655A</v>
      </c>
    </row>
    <row r="404" spans="2:15">
      <c r="B404" s="48">
        <f t="shared" ca="1" si="42"/>
        <v>62251</v>
      </c>
      <c r="C404" s="49">
        <f ca="1">BitXOR(B404, $V$16)</f>
        <v>63279</v>
      </c>
      <c r="D404" s="64">
        <f t="shared" ca="1" si="43"/>
        <v>37407</v>
      </c>
      <c r="E404" s="64">
        <f t="shared" ca="1" si="44"/>
        <v>38640</v>
      </c>
      <c r="F404" s="89"/>
      <c r="G404" s="89"/>
      <c r="H404" s="47" t="str">
        <f t="shared" ca="1" si="45"/>
        <v>F32B</v>
      </c>
      <c r="I404" s="89"/>
      <c r="J404" s="47" t="str">
        <f t="shared" ca="1" si="46"/>
        <v>F72F</v>
      </c>
      <c r="K404" s="89"/>
      <c r="L404" s="89"/>
      <c r="M404" s="47" t="str">
        <f t="shared" ca="1" si="47"/>
        <v>921F</v>
      </c>
      <c r="N404" s="89"/>
      <c r="O404" s="47" t="str">
        <f t="shared" ca="1" si="48"/>
        <v>96F0</v>
      </c>
    </row>
    <row r="405" spans="2:15">
      <c r="B405" s="48">
        <f t="shared" ca="1" si="42"/>
        <v>63398</v>
      </c>
      <c r="C405" s="49">
        <f ca="1">BitXOR(B405, $V$16)</f>
        <v>62370</v>
      </c>
      <c r="D405" s="64">
        <f t="shared" ca="1" si="43"/>
        <v>49011</v>
      </c>
      <c r="E405" s="64">
        <f t="shared" ca="1" si="44"/>
        <v>15011</v>
      </c>
      <c r="F405" s="89"/>
      <c r="G405" s="89"/>
      <c r="H405" s="47" t="str">
        <f t="shared" ca="1" si="45"/>
        <v>F7A6</v>
      </c>
      <c r="I405" s="89"/>
      <c r="J405" s="47" t="str">
        <f t="shared" ca="1" si="46"/>
        <v>F3A2</v>
      </c>
      <c r="K405" s="89"/>
      <c r="L405" s="89"/>
      <c r="M405" s="47" t="str">
        <f t="shared" ca="1" si="47"/>
        <v>BF73</v>
      </c>
      <c r="N405" s="89"/>
      <c r="O405" s="47" t="str">
        <f t="shared" ca="1" si="48"/>
        <v>3AA3</v>
      </c>
    </row>
    <row r="406" spans="2:15">
      <c r="B406" s="48">
        <f t="shared" ca="1" si="42"/>
        <v>14719</v>
      </c>
      <c r="C406" s="49">
        <f ca="1">BitXOR(B406, $V$16)</f>
        <v>15739</v>
      </c>
      <c r="D406" s="64">
        <f t="shared" ca="1" si="43"/>
        <v>63235</v>
      </c>
      <c r="E406" s="64">
        <f t="shared" ca="1" si="44"/>
        <v>64335</v>
      </c>
      <c r="F406" s="89"/>
      <c r="G406" s="89"/>
      <c r="H406" s="47" t="str">
        <f t="shared" ca="1" si="45"/>
        <v>397F</v>
      </c>
      <c r="I406" s="89"/>
      <c r="J406" s="47" t="str">
        <f t="shared" ca="1" si="46"/>
        <v>3D7B</v>
      </c>
      <c r="K406" s="89"/>
      <c r="L406" s="89"/>
      <c r="M406" s="47" t="str">
        <f t="shared" ca="1" si="47"/>
        <v>F703</v>
      </c>
      <c r="N406" s="89"/>
      <c r="O406" s="47" t="str">
        <f t="shared" ca="1" si="48"/>
        <v>FB4F</v>
      </c>
    </row>
    <row r="407" spans="2:15">
      <c r="B407" s="48">
        <f t="shared" ref="B407:B470" ca="1" si="49">RANDBETWEEN(1,2^16-1)</f>
        <v>41741</v>
      </c>
      <c r="C407" s="49">
        <f ca="1">BitXOR(B407, $V$16)</f>
        <v>42761</v>
      </c>
      <c r="D407" s="64">
        <f t="shared" ca="1" si="43"/>
        <v>3558</v>
      </c>
      <c r="E407" s="64">
        <f t="shared" ca="1" si="44"/>
        <v>18006</v>
      </c>
      <c r="F407" s="89"/>
      <c r="G407" s="89"/>
      <c r="H407" s="47" t="str">
        <f t="shared" ca="1" si="45"/>
        <v>A30D</v>
      </c>
      <c r="I407" s="89"/>
      <c r="J407" s="47" t="str">
        <f t="shared" ca="1" si="46"/>
        <v>A709</v>
      </c>
      <c r="K407" s="89"/>
      <c r="L407" s="89"/>
      <c r="M407" s="47" t="str">
        <f t="shared" ca="1" si="47"/>
        <v>0DE6</v>
      </c>
      <c r="N407" s="89"/>
      <c r="O407" s="47" t="str">
        <f t="shared" ca="1" si="48"/>
        <v>4656</v>
      </c>
    </row>
    <row r="408" spans="2:15">
      <c r="B408" s="48">
        <f t="shared" ca="1" si="49"/>
        <v>14213</v>
      </c>
      <c r="C408" s="49">
        <f ca="1">BitXOR(B408, $V$16)</f>
        <v>13185</v>
      </c>
      <c r="D408" s="64">
        <f t="shared" ca="1" si="43"/>
        <v>7541</v>
      </c>
      <c r="E408" s="64">
        <f t="shared" ca="1" si="44"/>
        <v>62980</v>
      </c>
      <c r="F408" s="89"/>
      <c r="G408" s="89"/>
      <c r="H408" s="47" t="str">
        <f t="shared" ca="1" si="45"/>
        <v>3785</v>
      </c>
      <c r="I408" s="89"/>
      <c r="J408" s="47" t="str">
        <f t="shared" ca="1" si="46"/>
        <v>3381</v>
      </c>
      <c r="K408" s="89"/>
      <c r="L408" s="89"/>
      <c r="M408" s="47" t="str">
        <f t="shared" ca="1" si="47"/>
        <v>1D75</v>
      </c>
      <c r="N408" s="89"/>
      <c r="O408" s="47" t="str">
        <f t="shared" ca="1" si="48"/>
        <v>F604</v>
      </c>
    </row>
    <row r="409" spans="2:15">
      <c r="B409" s="48">
        <f t="shared" ca="1" si="49"/>
        <v>65326</v>
      </c>
      <c r="C409" s="49">
        <f ca="1">BitXOR(B409, $V$16)</f>
        <v>64298</v>
      </c>
      <c r="D409" s="64">
        <f t="shared" ca="1" si="43"/>
        <v>10626</v>
      </c>
      <c r="E409" s="64">
        <f t="shared" ca="1" si="44"/>
        <v>1888</v>
      </c>
      <c r="F409" s="89"/>
      <c r="G409" s="89"/>
      <c r="H409" s="47" t="str">
        <f t="shared" ca="1" si="45"/>
        <v>FF2E</v>
      </c>
      <c r="I409" s="89"/>
      <c r="J409" s="47" t="str">
        <f t="shared" ca="1" si="46"/>
        <v>FB2A</v>
      </c>
      <c r="K409" s="89"/>
      <c r="L409" s="89"/>
      <c r="M409" s="47" t="str">
        <f t="shared" ca="1" si="47"/>
        <v>2982</v>
      </c>
      <c r="N409" s="89"/>
      <c r="O409" s="47" t="str">
        <f t="shared" ca="1" si="48"/>
        <v>0760</v>
      </c>
    </row>
    <row r="410" spans="2:15">
      <c r="B410" s="48">
        <f t="shared" ca="1" si="49"/>
        <v>36162</v>
      </c>
      <c r="C410" s="49">
        <f ca="1">BitXOR(B410, $V$16)</f>
        <v>35142</v>
      </c>
      <c r="D410" s="64">
        <f t="shared" ca="1" si="43"/>
        <v>6942</v>
      </c>
      <c r="E410" s="64">
        <f t="shared" ca="1" si="44"/>
        <v>44201</v>
      </c>
      <c r="F410" s="89"/>
      <c r="G410" s="89"/>
      <c r="H410" s="47" t="str">
        <f t="shared" ca="1" si="45"/>
        <v>8D42</v>
      </c>
      <c r="I410" s="89"/>
      <c r="J410" s="47" t="str">
        <f t="shared" ca="1" si="46"/>
        <v>8946</v>
      </c>
      <c r="K410" s="89"/>
      <c r="L410" s="89"/>
      <c r="M410" s="47" t="str">
        <f t="shared" ca="1" si="47"/>
        <v>1B1E</v>
      </c>
      <c r="N410" s="89"/>
      <c r="O410" s="47" t="str">
        <f t="shared" ca="1" si="48"/>
        <v>ACA9</v>
      </c>
    </row>
    <row r="411" spans="2:15">
      <c r="B411" s="48">
        <f t="shared" ca="1" si="49"/>
        <v>58434</v>
      </c>
      <c r="C411" s="49">
        <f ca="1">BitXOR(B411, $V$16)</f>
        <v>57414</v>
      </c>
      <c r="D411" s="64">
        <f t="shared" ca="1" si="43"/>
        <v>64123</v>
      </c>
      <c r="E411" s="64">
        <f t="shared" ca="1" si="44"/>
        <v>7600</v>
      </c>
      <c r="F411" s="89"/>
      <c r="G411" s="89"/>
      <c r="H411" s="47" t="str">
        <f t="shared" ca="1" si="45"/>
        <v>E442</v>
      </c>
      <c r="I411" s="89"/>
      <c r="J411" s="47" t="str">
        <f t="shared" ca="1" si="46"/>
        <v>E046</v>
      </c>
      <c r="K411" s="89"/>
      <c r="L411" s="89"/>
      <c r="M411" s="47" t="str">
        <f t="shared" ca="1" si="47"/>
        <v>FA7B</v>
      </c>
      <c r="N411" s="89"/>
      <c r="O411" s="47" t="str">
        <f t="shared" ca="1" si="48"/>
        <v>1DB0</v>
      </c>
    </row>
    <row r="412" spans="2:15">
      <c r="B412" s="48">
        <f t="shared" ca="1" si="49"/>
        <v>47213</v>
      </c>
      <c r="C412" s="49">
        <f ca="1">BitXOR(B412, $V$16)</f>
        <v>48233</v>
      </c>
      <c r="D412" s="64">
        <f t="shared" ca="1" si="43"/>
        <v>22923</v>
      </c>
      <c r="E412" s="64">
        <f t="shared" ca="1" si="44"/>
        <v>28382</v>
      </c>
      <c r="F412" s="89"/>
      <c r="G412" s="89"/>
      <c r="H412" s="47" t="str">
        <f t="shared" ca="1" si="45"/>
        <v>B86D</v>
      </c>
      <c r="I412" s="89"/>
      <c r="J412" s="47" t="str">
        <f t="shared" ca="1" si="46"/>
        <v>BC69</v>
      </c>
      <c r="K412" s="89"/>
      <c r="L412" s="89"/>
      <c r="M412" s="47" t="str">
        <f t="shared" ca="1" si="47"/>
        <v>598B</v>
      </c>
      <c r="N412" s="89"/>
      <c r="O412" s="47" t="str">
        <f t="shared" ca="1" si="48"/>
        <v>6EDE</v>
      </c>
    </row>
    <row r="413" spans="2:15">
      <c r="B413" s="48">
        <f t="shared" ca="1" si="49"/>
        <v>39713</v>
      </c>
      <c r="C413" s="49">
        <f ca="1">BitXOR(B413, $V$16)</f>
        <v>40741</v>
      </c>
      <c r="D413" s="64">
        <f t="shared" ca="1" si="43"/>
        <v>9224</v>
      </c>
      <c r="E413" s="64">
        <f t="shared" ca="1" si="44"/>
        <v>41992</v>
      </c>
      <c r="F413" s="89"/>
      <c r="G413" s="89"/>
      <c r="H413" s="47" t="str">
        <f t="shared" ca="1" si="45"/>
        <v>9B21</v>
      </c>
      <c r="I413" s="89"/>
      <c r="J413" s="47" t="str">
        <f t="shared" ca="1" si="46"/>
        <v>9F25</v>
      </c>
      <c r="K413" s="89"/>
      <c r="L413" s="89"/>
      <c r="M413" s="47" t="str">
        <f t="shared" ca="1" si="47"/>
        <v>2408</v>
      </c>
      <c r="N413" s="89"/>
      <c r="O413" s="47" t="str">
        <f t="shared" ca="1" si="48"/>
        <v>A408</v>
      </c>
    </row>
    <row r="414" spans="2:15">
      <c r="B414" s="48">
        <f t="shared" ca="1" si="49"/>
        <v>12817</v>
      </c>
      <c r="C414" s="49">
        <f ca="1">BitXOR(B414, $V$16)</f>
        <v>13845</v>
      </c>
      <c r="D414" s="64">
        <f t="shared" ca="1" si="43"/>
        <v>11716</v>
      </c>
      <c r="E414" s="64">
        <f t="shared" ca="1" si="44"/>
        <v>11279</v>
      </c>
      <c r="F414" s="89"/>
      <c r="G414" s="89"/>
      <c r="H414" s="47" t="str">
        <f t="shared" ca="1" si="45"/>
        <v>3211</v>
      </c>
      <c r="I414" s="89"/>
      <c r="J414" s="47" t="str">
        <f t="shared" ca="1" si="46"/>
        <v>3615</v>
      </c>
      <c r="K414" s="89"/>
      <c r="L414" s="89"/>
      <c r="M414" s="47" t="str">
        <f t="shared" ca="1" si="47"/>
        <v>2DC4</v>
      </c>
      <c r="N414" s="89"/>
      <c r="O414" s="47" t="str">
        <f t="shared" ca="1" si="48"/>
        <v>2C0F</v>
      </c>
    </row>
    <row r="415" spans="2:15">
      <c r="B415" s="48">
        <f t="shared" ca="1" si="49"/>
        <v>20554</v>
      </c>
      <c r="C415" s="49">
        <f ca="1">BitXOR(B415, $V$16)</f>
        <v>21582</v>
      </c>
      <c r="D415" s="64">
        <f t="shared" ca="1" si="43"/>
        <v>2032</v>
      </c>
      <c r="E415" s="64">
        <f t="shared" ca="1" si="44"/>
        <v>63376</v>
      </c>
      <c r="F415" s="89"/>
      <c r="G415" s="89"/>
      <c r="H415" s="47" t="str">
        <f t="shared" ca="1" si="45"/>
        <v>504A</v>
      </c>
      <c r="I415" s="89"/>
      <c r="J415" s="47" t="str">
        <f t="shared" ca="1" si="46"/>
        <v>544E</v>
      </c>
      <c r="K415" s="89"/>
      <c r="L415" s="89"/>
      <c r="M415" s="47" t="str">
        <f t="shared" ca="1" si="47"/>
        <v>07F0</v>
      </c>
      <c r="N415" s="89"/>
      <c r="O415" s="47" t="str">
        <f t="shared" ca="1" si="48"/>
        <v>F790</v>
      </c>
    </row>
    <row r="416" spans="2:15">
      <c r="B416" s="48">
        <f t="shared" ca="1" si="49"/>
        <v>25587</v>
      </c>
      <c r="C416" s="49">
        <f ca="1">BitXOR(B416, $V$16)</f>
        <v>26615</v>
      </c>
      <c r="D416" s="64">
        <f t="shared" ca="1" si="43"/>
        <v>51633</v>
      </c>
      <c r="E416" s="64">
        <f t="shared" ca="1" si="44"/>
        <v>35231</v>
      </c>
      <c r="F416" s="89"/>
      <c r="G416" s="89"/>
      <c r="H416" s="47" t="str">
        <f t="shared" ca="1" si="45"/>
        <v>63F3</v>
      </c>
      <c r="I416" s="89"/>
      <c r="J416" s="47" t="str">
        <f t="shared" ca="1" si="46"/>
        <v>67F7</v>
      </c>
      <c r="K416" s="89"/>
      <c r="L416" s="89"/>
      <c r="M416" s="47" t="str">
        <f t="shared" ca="1" si="47"/>
        <v>C9B1</v>
      </c>
      <c r="N416" s="89"/>
      <c r="O416" s="47" t="str">
        <f t="shared" ca="1" si="48"/>
        <v>899F</v>
      </c>
    </row>
    <row r="417" spans="2:15">
      <c r="B417" s="48">
        <f t="shared" ca="1" si="49"/>
        <v>40753</v>
      </c>
      <c r="C417" s="49">
        <f ca="1">BitXOR(B417, $V$16)</f>
        <v>39733</v>
      </c>
      <c r="D417" s="64">
        <f t="shared" ca="1" si="43"/>
        <v>55194</v>
      </c>
      <c r="E417" s="64">
        <f t="shared" ca="1" si="44"/>
        <v>34049</v>
      </c>
      <c r="F417" s="89"/>
      <c r="G417" s="89"/>
      <c r="H417" s="47" t="str">
        <f t="shared" ca="1" si="45"/>
        <v>9F31</v>
      </c>
      <c r="I417" s="89"/>
      <c r="J417" s="47" t="str">
        <f t="shared" ca="1" si="46"/>
        <v>9B35</v>
      </c>
      <c r="K417" s="89"/>
      <c r="L417" s="89"/>
      <c r="M417" s="47" t="str">
        <f t="shared" ca="1" si="47"/>
        <v>D79A</v>
      </c>
      <c r="N417" s="89"/>
      <c r="O417" s="47" t="str">
        <f t="shared" ca="1" si="48"/>
        <v>8501</v>
      </c>
    </row>
    <row r="418" spans="2:15">
      <c r="B418" s="48">
        <f t="shared" ca="1" si="49"/>
        <v>10585</v>
      </c>
      <c r="C418" s="49">
        <f ca="1">BitXOR(B418, $V$16)</f>
        <v>11613</v>
      </c>
      <c r="D418" s="64">
        <f t="shared" ca="1" si="43"/>
        <v>653</v>
      </c>
      <c r="E418" s="64">
        <f t="shared" ca="1" si="44"/>
        <v>3822</v>
      </c>
      <c r="F418" s="89"/>
      <c r="G418" s="89"/>
      <c r="H418" s="47" t="str">
        <f t="shared" ca="1" si="45"/>
        <v>2959</v>
      </c>
      <c r="I418" s="89"/>
      <c r="J418" s="47" t="str">
        <f t="shared" ca="1" si="46"/>
        <v>2D5D</v>
      </c>
      <c r="K418" s="89"/>
      <c r="L418" s="89"/>
      <c r="M418" s="47" t="str">
        <f t="shared" ca="1" si="47"/>
        <v>028D</v>
      </c>
      <c r="N418" s="89"/>
      <c r="O418" s="47" t="str">
        <f t="shared" ca="1" si="48"/>
        <v>0EEE</v>
      </c>
    </row>
    <row r="419" spans="2:15">
      <c r="B419" s="48">
        <f t="shared" ca="1" si="49"/>
        <v>1868</v>
      </c>
      <c r="C419" s="49">
        <f ca="1">BitXOR(B419, $V$16)</f>
        <v>840</v>
      </c>
      <c r="D419" s="64">
        <f t="shared" ca="1" si="43"/>
        <v>18261</v>
      </c>
      <c r="E419" s="64">
        <f t="shared" ca="1" si="44"/>
        <v>50528</v>
      </c>
      <c r="F419" s="89"/>
      <c r="G419" s="89"/>
      <c r="H419" s="47" t="str">
        <f t="shared" ca="1" si="45"/>
        <v>074C</v>
      </c>
      <c r="I419" s="89"/>
      <c r="J419" s="47" t="str">
        <f t="shared" ca="1" si="46"/>
        <v>0348</v>
      </c>
      <c r="K419" s="89"/>
      <c r="L419" s="89"/>
      <c r="M419" s="47" t="str">
        <f t="shared" ca="1" si="47"/>
        <v>4755</v>
      </c>
      <c r="N419" s="89"/>
      <c r="O419" s="47" t="str">
        <f t="shared" ca="1" si="48"/>
        <v>C560</v>
      </c>
    </row>
    <row r="420" spans="2:15">
      <c r="B420" s="48">
        <f t="shared" ca="1" si="49"/>
        <v>27984</v>
      </c>
      <c r="C420" s="49">
        <f ca="1">BitXOR(B420, $V$16)</f>
        <v>26964</v>
      </c>
      <c r="D420" s="64">
        <f t="shared" ca="1" si="43"/>
        <v>58898</v>
      </c>
      <c r="E420" s="64">
        <f t="shared" ca="1" si="44"/>
        <v>11418</v>
      </c>
      <c r="F420" s="89"/>
      <c r="G420" s="89"/>
      <c r="H420" s="47" t="str">
        <f t="shared" ca="1" si="45"/>
        <v>6D50</v>
      </c>
      <c r="I420" s="89"/>
      <c r="J420" s="47" t="str">
        <f t="shared" ca="1" si="46"/>
        <v>6954</v>
      </c>
      <c r="K420" s="89"/>
      <c r="L420" s="89"/>
      <c r="M420" s="47" t="str">
        <f t="shared" ca="1" si="47"/>
        <v>E612</v>
      </c>
      <c r="N420" s="89"/>
      <c r="O420" s="47" t="str">
        <f t="shared" ca="1" si="48"/>
        <v>2C9A</v>
      </c>
    </row>
    <row r="421" spans="2:15">
      <c r="B421" s="48">
        <f t="shared" ca="1" si="49"/>
        <v>20214</v>
      </c>
      <c r="C421" s="49">
        <f ca="1">BitXOR(B421, $V$16)</f>
        <v>19186</v>
      </c>
      <c r="D421" s="64">
        <f t="shared" ref="D421:D484" ca="1" si="50">Encrypt(B421, $D$2:$S$3, $D$6:$S$7, $V$10,$V$11,$V$12,$W$10,$W$11)</f>
        <v>17620</v>
      </c>
      <c r="E421" s="64">
        <f t="shared" ref="E421:E484" ca="1" si="51">Encrypt(C421, $D$2:$S$3, $D$6:$S$7, $V$10,$V$11,$V$12,$W$10,$W$11)</f>
        <v>27260</v>
      </c>
      <c r="F421" s="89"/>
      <c r="G421" s="89"/>
      <c r="H421" s="47" t="str">
        <f t="shared" ref="H421:H484" ca="1" si="52">DEC2HEX(B421,4)</f>
        <v>4EF6</v>
      </c>
      <c r="I421" s="89"/>
      <c r="J421" s="47" t="str">
        <f t="shared" ref="J421:J484" ca="1" si="53">DEC2HEX(C421,4)</f>
        <v>4AF2</v>
      </c>
      <c r="K421" s="89"/>
      <c r="L421" s="89"/>
      <c r="M421" s="47" t="str">
        <f t="shared" ref="M421:M484" ca="1" si="54">DEC2HEX(D421,4)</f>
        <v>44D4</v>
      </c>
      <c r="N421" s="89"/>
      <c r="O421" s="47" t="str">
        <f t="shared" ref="O421:O484" ca="1" si="55">DEC2HEX(E421,4)</f>
        <v>6A7C</v>
      </c>
    </row>
    <row r="422" spans="2:15">
      <c r="B422" s="48">
        <f t="shared" ca="1" si="49"/>
        <v>50692</v>
      </c>
      <c r="C422" s="49">
        <f ca="1">BitXOR(B422, $V$16)</f>
        <v>49664</v>
      </c>
      <c r="D422" s="64">
        <f t="shared" ca="1" si="50"/>
        <v>46672</v>
      </c>
      <c r="E422" s="64">
        <f t="shared" ca="1" si="51"/>
        <v>40064</v>
      </c>
      <c r="F422" s="89"/>
      <c r="G422" s="89"/>
      <c r="H422" s="47" t="str">
        <f t="shared" ca="1" si="52"/>
        <v>C604</v>
      </c>
      <c r="I422" s="89"/>
      <c r="J422" s="47" t="str">
        <f t="shared" ca="1" si="53"/>
        <v>C200</v>
      </c>
      <c r="K422" s="89"/>
      <c r="L422" s="89"/>
      <c r="M422" s="47" t="str">
        <f t="shared" ca="1" si="54"/>
        <v>B650</v>
      </c>
      <c r="N422" s="89"/>
      <c r="O422" s="47" t="str">
        <f t="shared" ca="1" si="55"/>
        <v>9C80</v>
      </c>
    </row>
    <row r="423" spans="2:15">
      <c r="B423" s="48">
        <f t="shared" ca="1" si="49"/>
        <v>16307</v>
      </c>
      <c r="C423" s="49">
        <f ca="1">BitXOR(B423, $V$16)</f>
        <v>15287</v>
      </c>
      <c r="D423" s="64">
        <f t="shared" ca="1" si="50"/>
        <v>15997</v>
      </c>
      <c r="E423" s="64">
        <f t="shared" ca="1" si="51"/>
        <v>31216</v>
      </c>
      <c r="F423" s="89"/>
      <c r="G423" s="89"/>
      <c r="H423" s="47" t="str">
        <f t="shared" ca="1" si="52"/>
        <v>3FB3</v>
      </c>
      <c r="I423" s="89"/>
      <c r="J423" s="47" t="str">
        <f t="shared" ca="1" si="53"/>
        <v>3BB7</v>
      </c>
      <c r="K423" s="89"/>
      <c r="L423" s="89"/>
      <c r="M423" s="47" t="str">
        <f t="shared" ca="1" si="54"/>
        <v>3E7D</v>
      </c>
      <c r="N423" s="89"/>
      <c r="O423" s="47" t="str">
        <f t="shared" ca="1" si="55"/>
        <v>79F0</v>
      </c>
    </row>
    <row r="424" spans="2:15">
      <c r="B424" s="48">
        <f t="shared" ca="1" si="49"/>
        <v>65134</v>
      </c>
      <c r="C424" s="49">
        <f ca="1">BitXOR(B424, $V$16)</f>
        <v>64106</v>
      </c>
      <c r="D424" s="64">
        <f t="shared" ca="1" si="50"/>
        <v>284</v>
      </c>
      <c r="E424" s="64">
        <f t="shared" ca="1" si="51"/>
        <v>4292</v>
      </c>
      <c r="F424" s="89"/>
      <c r="G424" s="89"/>
      <c r="H424" s="47" t="str">
        <f t="shared" ca="1" si="52"/>
        <v>FE6E</v>
      </c>
      <c r="I424" s="89"/>
      <c r="J424" s="47" t="str">
        <f t="shared" ca="1" si="53"/>
        <v>FA6A</v>
      </c>
      <c r="K424" s="89"/>
      <c r="L424" s="89"/>
      <c r="M424" s="47" t="str">
        <f t="shared" ca="1" si="54"/>
        <v>011C</v>
      </c>
      <c r="N424" s="89"/>
      <c r="O424" s="47" t="str">
        <f t="shared" ca="1" si="55"/>
        <v>10C4</v>
      </c>
    </row>
    <row r="425" spans="2:15">
      <c r="B425" s="48">
        <f t="shared" ca="1" si="49"/>
        <v>50884</v>
      </c>
      <c r="C425" s="49">
        <f ca="1">BitXOR(B425, $V$16)</f>
        <v>49856</v>
      </c>
      <c r="D425" s="64">
        <f t="shared" ca="1" si="50"/>
        <v>18770</v>
      </c>
      <c r="E425" s="64">
        <f t="shared" ca="1" si="51"/>
        <v>62862</v>
      </c>
      <c r="F425" s="89"/>
      <c r="G425" s="89"/>
      <c r="H425" s="47" t="str">
        <f t="shared" ca="1" si="52"/>
        <v>C6C4</v>
      </c>
      <c r="I425" s="89"/>
      <c r="J425" s="47" t="str">
        <f t="shared" ca="1" si="53"/>
        <v>C2C0</v>
      </c>
      <c r="K425" s="89"/>
      <c r="L425" s="89"/>
      <c r="M425" s="47" t="str">
        <f t="shared" ca="1" si="54"/>
        <v>4952</v>
      </c>
      <c r="N425" s="89"/>
      <c r="O425" s="47" t="str">
        <f t="shared" ca="1" si="55"/>
        <v>F58E</v>
      </c>
    </row>
    <row r="426" spans="2:15">
      <c r="B426" s="48">
        <f t="shared" ca="1" si="49"/>
        <v>41087</v>
      </c>
      <c r="C426" s="49">
        <f ca="1">BitXOR(B426, $V$16)</f>
        <v>42107</v>
      </c>
      <c r="D426" s="64">
        <f t="shared" ca="1" si="50"/>
        <v>58478</v>
      </c>
      <c r="E426" s="64">
        <f t="shared" ca="1" si="51"/>
        <v>64305</v>
      </c>
      <c r="F426" s="89"/>
      <c r="G426" s="89"/>
      <c r="H426" s="47" t="str">
        <f t="shared" ca="1" si="52"/>
        <v>A07F</v>
      </c>
      <c r="I426" s="89"/>
      <c r="J426" s="47" t="str">
        <f t="shared" ca="1" si="53"/>
        <v>A47B</v>
      </c>
      <c r="K426" s="89"/>
      <c r="L426" s="89"/>
      <c r="M426" s="47" t="str">
        <f t="shared" ca="1" si="54"/>
        <v>E46E</v>
      </c>
      <c r="N426" s="89"/>
      <c r="O426" s="47" t="str">
        <f t="shared" ca="1" si="55"/>
        <v>FB31</v>
      </c>
    </row>
    <row r="427" spans="2:15">
      <c r="B427" s="48">
        <f t="shared" ca="1" si="49"/>
        <v>7497</v>
      </c>
      <c r="C427" s="49">
        <f ca="1">BitXOR(B427, $V$16)</f>
        <v>6477</v>
      </c>
      <c r="D427" s="64">
        <f t="shared" ca="1" si="50"/>
        <v>28118</v>
      </c>
      <c r="E427" s="64">
        <f t="shared" ca="1" si="51"/>
        <v>46976</v>
      </c>
      <c r="F427" s="89"/>
      <c r="G427" s="89"/>
      <c r="H427" s="47" t="str">
        <f t="shared" ca="1" si="52"/>
        <v>1D49</v>
      </c>
      <c r="I427" s="89"/>
      <c r="J427" s="47" t="str">
        <f t="shared" ca="1" si="53"/>
        <v>194D</v>
      </c>
      <c r="K427" s="89"/>
      <c r="L427" s="89"/>
      <c r="M427" s="47" t="str">
        <f t="shared" ca="1" si="54"/>
        <v>6DD6</v>
      </c>
      <c r="N427" s="89"/>
      <c r="O427" s="47" t="str">
        <f t="shared" ca="1" si="55"/>
        <v>B780</v>
      </c>
    </row>
    <row r="428" spans="2:15">
      <c r="B428" s="48">
        <f t="shared" ca="1" si="49"/>
        <v>38799</v>
      </c>
      <c r="C428" s="49">
        <f ca="1">BitXOR(B428, $V$16)</f>
        <v>37771</v>
      </c>
      <c r="D428" s="64">
        <f t="shared" ca="1" si="50"/>
        <v>3977</v>
      </c>
      <c r="E428" s="64">
        <f t="shared" ca="1" si="51"/>
        <v>2551</v>
      </c>
      <c r="F428" s="89"/>
      <c r="G428" s="89"/>
      <c r="H428" s="47" t="str">
        <f t="shared" ca="1" si="52"/>
        <v>978F</v>
      </c>
      <c r="I428" s="89"/>
      <c r="J428" s="47" t="str">
        <f t="shared" ca="1" si="53"/>
        <v>938B</v>
      </c>
      <c r="K428" s="89"/>
      <c r="L428" s="89"/>
      <c r="M428" s="47" t="str">
        <f t="shared" ca="1" si="54"/>
        <v>0F89</v>
      </c>
      <c r="N428" s="89"/>
      <c r="O428" s="47" t="str">
        <f t="shared" ca="1" si="55"/>
        <v>09F7</v>
      </c>
    </row>
    <row r="429" spans="2:15">
      <c r="B429" s="48">
        <f t="shared" ca="1" si="49"/>
        <v>56898</v>
      </c>
      <c r="C429" s="49">
        <f ca="1">BitXOR(B429, $V$16)</f>
        <v>55878</v>
      </c>
      <c r="D429" s="64">
        <f t="shared" ca="1" si="50"/>
        <v>5118</v>
      </c>
      <c r="E429" s="64">
        <f t="shared" ca="1" si="51"/>
        <v>50667</v>
      </c>
      <c r="F429" s="89"/>
      <c r="G429" s="89"/>
      <c r="H429" s="47" t="str">
        <f t="shared" ca="1" si="52"/>
        <v>DE42</v>
      </c>
      <c r="I429" s="89"/>
      <c r="J429" s="47" t="str">
        <f t="shared" ca="1" si="53"/>
        <v>DA46</v>
      </c>
      <c r="K429" s="89"/>
      <c r="L429" s="89"/>
      <c r="M429" s="47" t="str">
        <f t="shared" ca="1" si="54"/>
        <v>13FE</v>
      </c>
      <c r="N429" s="89"/>
      <c r="O429" s="47" t="str">
        <f t="shared" ca="1" si="55"/>
        <v>C5EB</v>
      </c>
    </row>
    <row r="430" spans="2:15">
      <c r="B430" s="48">
        <f t="shared" ca="1" si="49"/>
        <v>32615</v>
      </c>
      <c r="C430" s="49">
        <f ca="1">BitXOR(B430, $V$16)</f>
        <v>31587</v>
      </c>
      <c r="D430" s="64">
        <f t="shared" ca="1" si="50"/>
        <v>55694</v>
      </c>
      <c r="E430" s="64">
        <f t="shared" ca="1" si="51"/>
        <v>34219</v>
      </c>
      <c r="F430" s="89"/>
      <c r="G430" s="89"/>
      <c r="H430" s="47" t="str">
        <f t="shared" ca="1" si="52"/>
        <v>7F67</v>
      </c>
      <c r="I430" s="89"/>
      <c r="J430" s="47" t="str">
        <f t="shared" ca="1" si="53"/>
        <v>7B63</v>
      </c>
      <c r="K430" s="89"/>
      <c r="L430" s="89"/>
      <c r="M430" s="47" t="str">
        <f t="shared" ca="1" si="54"/>
        <v>D98E</v>
      </c>
      <c r="N430" s="89"/>
      <c r="O430" s="47" t="str">
        <f t="shared" ca="1" si="55"/>
        <v>85AB</v>
      </c>
    </row>
    <row r="431" spans="2:15">
      <c r="B431" s="48">
        <f t="shared" ca="1" si="49"/>
        <v>63661</v>
      </c>
      <c r="C431" s="49">
        <f ca="1">BitXOR(B431, $V$16)</f>
        <v>64681</v>
      </c>
      <c r="D431" s="64">
        <f t="shared" ca="1" si="50"/>
        <v>49133</v>
      </c>
      <c r="E431" s="64">
        <f t="shared" ca="1" si="51"/>
        <v>23911</v>
      </c>
      <c r="F431" s="89"/>
      <c r="G431" s="89"/>
      <c r="H431" s="47" t="str">
        <f t="shared" ca="1" si="52"/>
        <v>F8AD</v>
      </c>
      <c r="I431" s="89"/>
      <c r="J431" s="47" t="str">
        <f t="shared" ca="1" si="53"/>
        <v>FCA9</v>
      </c>
      <c r="K431" s="89"/>
      <c r="L431" s="89"/>
      <c r="M431" s="47" t="str">
        <f t="shared" ca="1" si="54"/>
        <v>BFED</v>
      </c>
      <c r="N431" s="89"/>
      <c r="O431" s="47" t="str">
        <f t="shared" ca="1" si="55"/>
        <v>5D67</v>
      </c>
    </row>
    <row r="432" spans="2:15">
      <c r="B432" s="48">
        <f t="shared" ca="1" si="49"/>
        <v>29391</v>
      </c>
      <c r="C432" s="49">
        <f ca="1">BitXOR(B432, $V$16)</f>
        <v>30411</v>
      </c>
      <c r="D432" s="64">
        <f t="shared" ca="1" si="50"/>
        <v>64424</v>
      </c>
      <c r="E432" s="64">
        <f t="shared" ca="1" si="51"/>
        <v>58246</v>
      </c>
      <c r="F432" s="89"/>
      <c r="G432" s="89"/>
      <c r="H432" s="47" t="str">
        <f t="shared" ca="1" si="52"/>
        <v>72CF</v>
      </c>
      <c r="I432" s="89"/>
      <c r="J432" s="47" t="str">
        <f t="shared" ca="1" si="53"/>
        <v>76CB</v>
      </c>
      <c r="K432" s="89"/>
      <c r="L432" s="89"/>
      <c r="M432" s="47" t="str">
        <f t="shared" ca="1" si="54"/>
        <v>FBA8</v>
      </c>
      <c r="N432" s="89"/>
      <c r="O432" s="47" t="str">
        <f t="shared" ca="1" si="55"/>
        <v>E386</v>
      </c>
    </row>
    <row r="433" spans="2:15">
      <c r="B433" s="48">
        <f t="shared" ca="1" si="49"/>
        <v>24214</v>
      </c>
      <c r="C433" s="49">
        <f ca="1">BitXOR(B433, $V$16)</f>
        <v>23186</v>
      </c>
      <c r="D433" s="64">
        <f t="shared" ca="1" si="50"/>
        <v>52242</v>
      </c>
      <c r="E433" s="64">
        <f t="shared" ca="1" si="51"/>
        <v>26642</v>
      </c>
      <c r="F433" s="89"/>
      <c r="G433" s="89"/>
      <c r="H433" s="47" t="str">
        <f t="shared" ca="1" si="52"/>
        <v>5E96</v>
      </c>
      <c r="I433" s="89"/>
      <c r="J433" s="47" t="str">
        <f t="shared" ca="1" si="53"/>
        <v>5A92</v>
      </c>
      <c r="K433" s="89"/>
      <c r="L433" s="89"/>
      <c r="M433" s="47" t="str">
        <f t="shared" ca="1" si="54"/>
        <v>CC12</v>
      </c>
      <c r="N433" s="89"/>
      <c r="O433" s="47" t="str">
        <f t="shared" ca="1" si="55"/>
        <v>6812</v>
      </c>
    </row>
    <row r="434" spans="2:15">
      <c r="B434" s="48">
        <f t="shared" ca="1" si="49"/>
        <v>62336</v>
      </c>
      <c r="C434" s="49">
        <f ca="1">BitXOR(B434, $V$16)</f>
        <v>63364</v>
      </c>
      <c r="D434" s="64">
        <f t="shared" ca="1" si="50"/>
        <v>31524</v>
      </c>
      <c r="E434" s="64">
        <f t="shared" ca="1" si="51"/>
        <v>26723</v>
      </c>
      <c r="F434" s="89"/>
      <c r="G434" s="89"/>
      <c r="H434" s="47" t="str">
        <f t="shared" ca="1" si="52"/>
        <v>F380</v>
      </c>
      <c r="I434" s="89"/>
      <c r="J434" s="47" t="str">
        <f t="shared" ca="1" si="53"/>
        <v>F784</v>
      </c>
      <c r="K434" s="89"/>
      <c r="L434" s="89"/>
      <c r="M434" s="47" t="str">
        <f t="shared" ca="1" si="54"/>
        <v>7B24</v>
      </c>
      <c r="N434" s="89"/>
      <c r="O434" s="47" t="str">
        <f t="shared" ca="1" si="55"/>
        <v>6863</v>
      </c>
    </row>
    <row r="435" spans="2:15">
      <c r="B435" s="48">
        <f t="shared" ca="1" si="49"/>
        <v>58816</v>
      </c>
      <c r="C435" s="49">
        <f ca="1">BitXOR(B435, $V$16)</f>
        <v>57796</v>
      </c>
      <c r="D435" s="64">
        <f t="shared" ca="1" si="50"/>
        <v>26947</v>
      </c>
      <c r="E435" s="64">
        <f t="shared" ca="1" si="51"/>
        <v>41713</v>
      </c>
      <c r="F435" s="89"/>
      <c r="G435" s="89"/>
      <c r="H435" s="47" t="str">
        <f t="shared" ca="1" si="52"/>
        <v>E5C0</v>
      </c>
      <c r="I435" s="89"/>
      <c r="J435" s="47" t="str">
        <f t="shared" ca="1" si="53"/>
        <v>E1C4</v>
      </c>
      <c r="K435" s="89"/>
      <c r="L435" s="89"/>
      <c r="M435" s="47" t="str">
        <f t="shared" ca="1" si="54"/>
        <v>6943</v>
      </c>
      <c r="N435" s="89"/>
      <c r="O435" s="47" t="str">
        <f t="shared" ca="1" si="55"/>
        <v>A2F1</v>
      </c>
    </row>
    <row r="436" spans="2:15">
      <c r="B436" s="48">
        <f t="shared" ca="1" si="49"/>
        <v>26487</v>
      </c>
      <c r="C436" s="49">
        <f ca="1">BitXOR(B436, $V$16)</f>
        <v>25459</v>
      </c>
      <c r="D436" s="64">
        <f t="shared" ca="1" si="50"/>
        <v>45721</v>
      </c>
      <c r="E436" s="64">
        <f t="shared" ca="1" si="51"/>
        <v>43893</v>
      </c>
      <c r="F436" s="89"/>
      <c r="G436" s="89"/>
      <c r="H436" s="47" t="str">
        <f t="shared" ca="1" si="52"/>
        <v>6777</v>
      </c>
      <c r="I436" s="89"/>
      <c r="J436" s="47" t="str">
        <f t="shared" ca="1" si="53"/>
        <v>6373</v>
      </c>
      <c r="K436" s="89"/>
      <c r="L436" s="89"/>
      <c r="M436" s="47" t="str">
        <f t="shared" ca="1" si="54"/>
        <v>B299</v>
      </c>
      <c r="N436" s="89"/>
      <c r="O436" s="47" t="str">
        <f t="shared" ca="1" si="55"/>
        <v>AB75</v>
      </c>
    </row>
    <row r="437" spans="2:15">
      <c r="B437" s="48">
        <f t="shared" ca="1" si="49"/>
        <v>64222</v>
      </c>
      <c r="C437" s="49">
        <f ca="1">BitXOR(B437, $V$16)</f>
        <v>65242</v>
      </c>
      <c r="D437" s="64">
        <f t="shared" ca="1" si="50"/>
        <v>55075</v>
      </c>
      <c r="E437" s="64">
        <f t="shared" ca="1" si="51"/>
        <v>10690</v>
      </c>
      <c r="F437" s="89"/>
      <c r="G437" s="89"/>
      <c r="H437" s="47" t="str">
        <f t="shared" ca="1" si="52"/>
        <v>FADE</v>
      </c>
      <c r="I437" s="89"/>
      <c r="J437" s="47" t="str">
        <f t="shared" ca="1" si="53"/>
        <v>FEDA</v>
      </c>
      <c r="K437" s="89"/>
      <c r="L437" s="89"/>
      <c r="M437" s="47" t="str">
        <f t="shared" ca="1" si="54"/>
        <v>D723</v>
      </c>
      <c r="N437" s="89"/>
      <c r="O437" s="47" t="str">
        <f t="shared" ca="1" si="55"/>
        <v>29C2</v>
      </c>
    </row>
    <row r="438" spans="2:15">
      <c r="B438" s="48">
        <f t="shared" ca="1" si="49"/>
        <v>52641</v>
      </c>
      <c r="C438" s="49">
        <f ca="1">BitXOR(B438, $V$16)</f>
        <v>51621</v>
      </c>
      <c r="D438" s="64">
        <f t="shared" ca="1" si="50"/>
        <v>56418</v>
      </c>
      <c r="E438" s="64">
        <f t="shared" ca="1" si="51"/>
        <v>57111</v>
      </c>
      <c r="F438" s="89"/>
      <c r="G438" s="89"/>
      <c r="H438" s="47" t="str">
        <f t="shared" ca="1" si="52"/>
        <v>CDA1</v>
      </c>
      <c r="I438" s="89"/>
      <c r="J438" s="47" t="str">
        <f t="shared" ca="1" si="53"/>
        <v>C9A5</v>
      </c>
      <c r="K438" s="89"/>
      <c r="L438" s="89"/>
      <c r="M438" s="47" t="str">
        <f t="shared" ca="1" si="54"/>
        <v>DC62</v>
      </c>
      <c r="N438" s="89"/>
      <c r="O438" s="47" t="str">
        <f t="shared" ca="1" si="55"/>
        <v>DF17</v>
      </c>
    </row>
    <row r="439" spans="2:15">
      <c r="B439" s="48">
        <f t="shared" ca="1" si="49"/>
        <v>6163</v>
      </c>
      <c r="C439" s="49">
        <f ca="1">BitXOR(B439, $V$16)</f>
        <v>7191</v>
      </c>
      <c r="D439" s="64">
        <f t="shared" ca="1" si="50"/>
        <v>65040</v>
      </c>
      <c r="E439" s="64">
        <f t="shared" ca="1" si="51"/>
        <v>48524</v>
      </c>
      <c r="F439" s="89"/>
      <c r="G439" s="89"/>
      <c r="H439" s="47" t="str">
        <f t="shared" ca="1" si="52"/>
        <v>1813</v>
      </c>
      <c r="I439" s="89"/>
      <c r="J439" s="47" t="str">
        <f t="shared" ca="1" si="53"/>
        <v>1C17</v>
      </c>
      <c r="K439" s="89"/>
      <c r="L439" s="89"/>
      <c r="M439" s="47" t="str">
        <f t="shared" ca="1" si="54"/>
        <v>FE10</v>
      </c>
      <c r="N439" s="89"/>
      <c r="O439" s="47" t="str">
        <f t="shared" ca="1" si="55"/>
        <v>BD8C</v>
      </c>
    </row>
    <row r="440" spans="2:15">
      <c r="B440" s="48">
        <f t="shared" ca="1" si="49"/>
        <v>29779</v>
      </c>
      <c r="C440" s="49">
        <f ca="1">BitXOR(B440, $V$16)</f>
        <v>28759</v>
      </c>
      <c r="D440" s="64">
        <f t="shared" ca="1" si="50"/>
        <v>4621</v>
      </c>
      <c r="E440" s="64">
        <f t="shared" ca="1" si="51"/>
        <v>4674</v>
      </c>
      <c r="F440" s="89"/>
      <c r="G440" s="89"/>
      <c r="H440" s="47" t="str">
        <f t="shared" ca="1" si="52"/>
        <v>7453</v>
      </c>
      <c r="I440" s="89"/>
      <c r="J440" s="47" t="str">
        <f t="shared" ca="1" si="53"/>
        <v>7057</v>
      </c>
      <c r="K440" s="89"/>
      <c r="L440" s="89"/>
      <c r="M440" s="47" t="str">
        <f t="shared" ca="1" si="54"/>
        <v>120D</v>
      </c>
      <c r="N440" s="89"/>
      <c r="O440" s="47" t="str">
        <f t="shared" ca="1" si="55"/>
        <v>1242</v>
      </c>
    </row>
    <row r="441" spans="2:15">
      <c r="B441" s="48">
        <f t="shared" ca="1" si="49"/>
        <v>34301</v>
      </c>
      <c r="C441" s="49">
        <f ca="1">BitXOR(B441, $V$16)</f>
        <v>33273</v>
      </c>
      <c r="D441" s="64">
        <f t="shared" ca="1" si="50"/>
        <v>54065</v>
      </c>
      <c r="E441" s="64">
        <f t="shared" ca="1" si="51"/>
        <v>49793</v>
      </c>
      <c r="F441" s="89"/>
      <c r="G441" s="89"/>
      <c r="H441" s="47" t="str">
        <f t="shared" ca="1" si="52"/>
        <v>85FD</v>
      </c>
      <c r="I441" s="89"/>
      <c r="J441" s="47" t="str">
        <f t="shared" ca="1" si="53"/>
        <v>81F9</v>
      </c>
      <c r="K441" s="89"/>
      <c r="L441" s="89"/>
      <c r="M441" s="47" t="str">
        <f t="shared" ca="1" si="54"/>
        <v>D331</v>
      </c>
      <c r="N441" s="89"/>
      <c r="O441" s="47" t="str">
        <f t="shared" ca="1" si="55"/>
        <v>C281</v>
      </c>
    </row>
    <row r="442" spans="2:15">
      <c r="B442" s="48">
        <f t="shared" ca="1" si="49"/>
        <v>48923</v>
      </c>
      <c r="C442" s="49">
        <f ca="1">BitXOR(B442, $V$16)</f>
        <v>47903</v>
      </c>
      <c r="D442" s="64">
        <f t="shared" ca="1" si="50"/>
        <v>5715</v>
      </c>
      <c r="E442" s="64">
        <f t="shared" ca="1" si="51"/>
        <v>60600</v>
      </c>
      <c r="F442" s="89"/>
      <c r="G442" s="89"/>
      <c r="H442" s="47" t="str">
        <f t="shared" ca="1" si="52"/>
        <v>BF1B</v>
      </c>
      <c r="I442" s="89"/>
      <c r="J442" s="47" t="str">
        <f t="shared" ca="1" si="53"/>
        <v>BB1F</v>
      </c>
      <c r="K442" s="89"/>
      <c r="L442" s="89"/>
      <c r="M442" s="47" t="str">
        <f t="shared" ca="1" si="54"/>
        <v>1653</v>
      </c>
      <c r="N442" s="89"/>
      <c r="O442" s="47" t="str">
        <f t="shared" ca="1" si="55"/>
        <v>ECB8</v>
      </c>
    </row>
    <row r="443" spans="2:15">
      <c r="B443" s="48">
        <f t="shared" ca="1" si="49"/>
        <v>41709</v>
      </c>
      <c r="C443" s="49">
        <f ca="1">BitXOR(B443, $V$16)</f>
        <v>42729</v>
      </c>
      <c r="D443" s="64">
        <f t="shared" ca="1" si="50"/>
        <v>22279</v>
      </c>
      <c r="E443" s="64">
        <f t="shared" ca="1" si="51"/>
        <v>44505</v>
      </c>
      <c r="F443" s="89"/>
      <c r="G443" s="89"/>
      <c r="H443" s="47" t="str">
        <f t="shared" ca="1" si="52"/>
        <v>A2ED</v>
      </c>
      <c r="I443" s="89"/>
      <c r="J443" s="47" t="str">
        <f t="shared" ca="1" si="53"/>
        <v>A6E9</v>
      </c>
      <c r="K443" s="89"/>
      <c r="L443" s="89"/>
      <c r="M443" s="47" t="str">
        <f t="shared" ca="1" si="54"/>
        <v>5707</v>
      </c>
      <c r="N443" s="89"/>
      <c r="O443" s="47" t="str">
        <f t="shared" ca="1" si="55"/>
        <v>ADD9</v>
      </c>
    </row>
    <row r="444" spans="2:15">
      <c r="B444" s="48">
        <f t="shared" ca="1" si="49"/>
        <v>6698</v>
      </c>
      <c r="C444" s="49">
        <f ca="1">BitXOR(B444, $V$16)</f>
        <v>7726</v>
      </c>
      <c r="D444" s="64">
        <f t="shared" ca="1" si="50"/>
        <v>10064</v>
      </c>
      <c r="E444" s="64">
        <f t="shared" ca="1" si="51"/>
        <v>35212</v>
      </c>
      <c r="F444" s="89"/>
      <c r="G444" s="89"/>
      <c r="H444" s="47" t="str">
        <f t="shared" ca="1" si="52"/>
        <v>1A2A</v>
      </c>
      <c r="I444" s="89"/>
      <c r="J444" s="47" t="str">
        <f t="shared" ca="1" si="53"/>
        <v>1E2E</v>
      </c>
      <c r="K444" s="89"/>
      <c r="L444" s="89"/>
      <c r="M444" s="47" t="str">
        <f t="shared" ca="1" si="54"/>
        <v>2750</v>
      </c>
      <c r="N444" s="89"/>
      <c r="O444" s="47" t="str">
        <f t="shared" ca="1" si="55"/>
        <v>898C</v>
      </c>
    </row>
    <row r="445" spans="2:15">
      <c r="B445" s="48">
        <f t="shared" ca="1" si="49"/>
        <v>21134</v>
      </c>
      <c r="C445" s="49">
        <f ca="1">BitXOR(B445, $V$16)</f>
        <v>22154</v>
      </c>
      <c r="D445" s="64">
        <f t="shared" ca="1" si="50"/>
        <v>9889</v>
      </c>
      <c r="E445" s="64">
        <f t="shared" ca="1" si="51"/>
        <v>7937</v>
      </c>
      <c r="F445" s="89"/>
      <c r="G445" s="89"/>
      <c r="H445" s="47" t="str">
        <f t="shared" ca="1" si="52"/>
        <v>528E</v>
      </c>
      <c r="I445" s="89"/>
      <c r="J445" s="47" t="str">
        <f t="shared" ca="1" si="53"/>
        <v>568A</v>
      </c>
      <c r="K445" s="89"/>
      <c r="L445" s="89"/>
      <c r="M445" s="47" t="str">
        <f t="shared" ca="1" si="54"/>
        <v>26A1</v>
      </c>
      <c r="N445" s="89"/>
      <c r="O445" s="47" t="str">
        <f t="shared" ca="1" si="55"/>
        <v>1F01</v>
      </c>
    </row>
    <row r="446" spans="2:15">
      <c r="B446" s="48">
        <f t="shared" ca="1" si="49"/>
        <v>26682</v>
      </c>
      <c r="C446" s="49">
        <f ca="1">BitXOR(B446, $V$16)</f>
        <v>27710</v>
      </c>
      <c r="D446" s="64">
        <f t="shared" ca="1" si="50"/>
        <v>22047</v>
      </c>
      <c r="E446" s="64">
        <f t="shared" ca="1" si="51"/>
        <v>1834</v>
      </c>
      <c r="F446" s="89"/>
      <c r="G446" s="89"/>
      <c r="H446" s="47" t="str">
        <f t="shared" ca="1" si="52"/>
        <v>683A</v>
      </c>
      <c r="I446" s="89"/>
      <c r="J446" s="47" t="str">
        <f t="shared" ca="1" si="53"/>
        <v>6C3E</v>
      </c>
      <c r="K446" s="89"/>
      <c r="L446" s="89"/>
      <c r="M446" s="47" t="str">
        <f t="shared" ca="1" si="54"/>
        <v>561F</v>
      </c>
      <c r="N446" s="89"/>
      <c r="O446" s="47" t="str">
        <f t="shared" ca="1" si="55"/>
        <v>072A</v>
      </c>
    </row>
    <row r="447" spans="2:15">
      <c r="B447" s="48">
        <f t="shared" ca="1" si="49"/>
        <v>37219</v>
      </c>
      <c r="C447" s="49">
        <f ca="1">BitXOR(B447, $V$16)</f>
        <v>38247</v>
      </c>
      <c r="D447" s="64">
        <f t="shared" ca="1" si="50"/>
        <v>32939</v>
      </c>
      <c r="E447" s="64">
        <f t="shared" ca="1" si="51"/>
        <v>33515</v>
      </c>
      <c r="F447" s="89"/>
      <c r="G447" s="89"/>
      <c r="H447" s="47" t="str">
        <f t="shared" ca="1" si="52"/>
        <v>9163</v>
      </c>
      <c r="I447" s="89"/>
      <c r="J447" s="47" t="str">
        <f t="shared" ca="1" si="53"/>
        <v>9567</v>
      </c>
      <c r="K447" s="89"/>
      <c r="L447" s="89"/>
      <c r="M447" s="47" t="str">
        <f t="shared" ca="1" si="54"/>
        <v>80AB</v>
      </c>
      <c r="N447" s="89"/>
      <c r="O447" s="47" t="str">
        <f t="shared" ca="1" si="55"/>
        <v>82EB</v>
      </c>
    </row>
    <row r="448" spans="2:15">
      <c r="B448" s="48">
        <f t="shared" ca="1" si="49"/>
        <v>16295</v>
      </c>
      <c r="C448" s="49">
        <f ca="1">BitXOR(B448, $V$16)</f>
        <v>15267</v>
      </c>
      <c r="D448" s="64">
        <f t="shared" ca="1" si="50"/>
        <v>15731</v>
      </c>
      <c r="E448" s="64">
        <f t="shared" ca="1" si="51"/>
        <v>22797</v>
      </c>
      <c r="F448" s="89"/>
      <c r="G448" s="89"/>
      <c r="H448" s="47" t="str">
        <f t="shared" ca="1" si="52"/>
        <v>3FA7</v>
      </c>
      <c r="I448" s="89"/>
      <c r="J448" s="47" t="str">
        <f t="shared" ca="1" si="53"/>
        <v>3BA3</v>
      </c>
      <c r="K448" s="89"/>
      <c r="L448" s="89"/>
      <c r="M448" s="47" t="str">
        <f t="shared" ca="1" si="54"/>
        <v>3D73</v>
      </c>
      <c r="N448" s="89"/>
      <c r="O448" s="47" t="str">
        <f t="shared" ca="1" si="55"/>
        <v>590D</v>
      </c>
    </row>
    <row r="449" spans="2:15">
      <c r="B449" s="48">
        <f t="shared" ca="1" si="49"/>
        <v>45240</v>
      </c>
      <c r="C449" s="49">
        <f ca="1">BitXOR(B449, $V$16)</f>
        <v>46268</v>
      </c>
      <c r="D449" s="64">
        <f t="shared" ca="1" si="50"/>
        <v>12804</v>
      </c>
      <c r="E449" s="64">
        <f t="shared" ca="1" si="51"/>
        <v>14998</v>
      </c>
      <c r="F449" s="89"/>
      <c r="G449" s="89"/>
      <c r="H449" s="47" t="str">
        <f t="shared" ca="1" si="52"/>
        <v>B0B8</v>
      </c>
      <c r="I449" s="89"/>
      <c r="J449" s="47" t="str">
        <f t="shared" ca="1" si="53"/>
        <v>B4BC</v>
      </c>
      <c r="K449" s="89"/>
      <c r="L449" s="89"/>
      <c r="M449" s="47" t="str">
        <f t="shared" ca="1" si="54"/>
        <v>3204</v>
      </c>
      <c r="N449" s="89"/>
      <c r="O449" s="47" t="str">
        <f t="shared" ca="1" si="55"/>
        <v>3A96</v>
      </c>
    </row>
    <row r="450" spans="2:15">
      <c r="B450" s="48">
        <f t="shared" ca="1" si="49"/>
        <v>54790</v>
      </c>
      <c r="C450" s="49">
        <f ca="1">BitXOR(B450, $V$16)</f>
        <v>53762</v>
      </c>
      <c r="D450" s="64">
        <f t="shared" ca="1" si="50"/>
        <v>21045</v>
      </c>
      <c r="E450" s="64">
        <f t="shared" ca="1" si="51"/>
        <v>43099</v>
      </c>
      <c r="F450" s="89"/>
      <c r="G450" s="89"/>
      <c r="H450" s="47" t="str">
        <f t="shared" ca="1" si="52"/>
        <v>D606</v>
      </c>
      <c r="I450" s="89"/>
      <c r="J450" s="47" t="str">
        <f t="shared" ca="1" si="53"/>
        <v>D202</v>
      </c>
      <c r="K450" s="89"/>
      <c r="L450" s="89"/>
      <c r="M450" s="47" t="str">
        <f t="shared" ca="1" si="54"/>
        <v>5235</v>
      </c>
      <c r="N450" s="89"/>
      <c r="O450" s="47" t="str">
        <f t="shared" ca="1" si="55"/>
        <v>A85B</v>
      </c>
    </row>
    <row r="451" spans="2:15">
      <c r="B451" s="48">
        <f t="shared" ca="1" si="49"/>
        <v>40394</v>
      </c>
      <c r="C451" s="49">
        <f ca="1">BitXOR(B451, $V$16)</f>
        <v>39374</v>
      </c>
      <c r="D451" s="64">
        <f t="shared" ca="1" si="50"/>
        <v>45385</v>
      </c>
      <c r="E451" s="64">
        <f t="shared" ca="1" si="51"/>
        <v>28026</v>
      </c>
      <c r="F451" s="89"/>
      <c r="G451" s="89"/>
      <c r="H451" s="47" t="str">
        <f t="shared" ca="1" si="52"/>
        <v>9DCA</v>
      </c>
      <c r="I451" s="89"/>
      <c r="J451" s="47" t="str">
        <f t="shared" ca="1" si="53"/>
        <v>99CE</v>
      </c>
      <c r="K451" s="89"/>
      <c r="L451" s="89"/>
      <c r="M451" s="47" t="str">
        <f t="shared" ca="1" si="54"/>
        <v>B149</v>
      </c>
      <c r="N451" s="89"/>
      <c r="O451" s="47" t="str">
        <f t="shared" ca="1" si="55"/>
        <v>6D7A</v>
      </c>
    </row>
    <row r="452" spans="2:15">
      <c r="B452" s="48">
        <f t="shared" ca="1" si="49"/>
        <v>40877</v>
      </c>
      <c r="C452" s="49">
        <f ca="1">BitXOR(B452, $V$16)</f>
        <v>39849</v>
      </c>
      <c r="D452" s="64">
        <f t="shared" ca="1" si="50"/>
        <v>23097</v>
      </c>
      <c r="E452" s="64">
        <f t="shared" ca="1" si="51"/>
        <v>35975</v>
      </c>
      <c r="F452" s="89"/>
      <c r="G452" s="89"/>
      <c r="H452" s="47" t="str">
        <f t="shared" ca="1" si="52"/>
        <v>9FAD</v>
      </c>
      <c r="I452" s="89"/>
      <c r="J452" s="47" t="str">
        <f t="shared" ca="1" si="53"/>
        <v>9BA9</v>
      </c>
      <c r="K452" s="89"/>
      <c r="L452" s="89"/>
      <c r="M452" s="47" t="str">
        <f t="shared" ca="1" si="54"/>
        <v>5A39</v>
      </c>
      <c r="N452" s="89"/>
      <c r="O452" s="47" t="str">
        <f t="shared" ca="1" si="55"/>
        <v>8C87</v>
      </c>
    </row>
    <row r="453" spans="2:15">
      <c r="B453" s="48">
        <f t="shared" ca="1" si="49"/>
        <v>21473</v>
      </c>
      <c r="C453" s="49">
        <f ca="1">BitXOR(B453, $V$16)</f>
        <v>22501</v>
      </c>
      <c r="D453" s="64">
        <f t="shared" ca="1" si="50"/>
        <v>48821</v>
      </c>
      <c r="E453" s="64">
        <f t="shared" ca="1" si="51"/>
        <v>16376</v>
      </c>
      <c r="F453" s="89"/>
      <c r="G453" s="89"/>
      <c r="H453" s="47" t="str">
        <f t="shared" ca="1" si="52"/>
        <v>53E1</v>
      </c>
      <c r="I453" s="89"/>
      <c r="J453" s="47" t="str">
        <f t="shared" ca="1" si="53"/>
        <v>57E5</v>
      </c>
      <c r="K453" s="89"/>
      <c r="L453" s="89"/>
      <c r="M453" s="47" t="str">
        <f t="shared" ca="1" si="54"/>
        <v>BEB5</v>
      </c>
      <c r="N453" s="89"/>
      <c r="O453" s="47" t="str">
        <f t="shared" ca="1" si="55"/>
        <v>3FF8</v>
      </c>
    </row>
    <row r="454" spans="2:15">
      <c r="B454" s="48">
        <f t="shared" ca="1" si="49"/>
        <v>23960</v>
      </c>
      <c r="C454" s="49">
        <f ca="1">BitXOR(B454, $V$16)</f>
        <v>22940</v>
      </c>
      <c r="D454" s="64">
        <f t="shared" ca="1" si="50"/>
        <v>26876</v>
      </c>
      <c r="E454" s="64">
        <f t="shared" ca="1" si="51"/>
        <v>28439</v>
      </c>
      <c r="F454" s="89"/>
      <c r="G454" s="89"/>
      <c r="H454" s="47" t="str">
        <f t="shared" ca="1" si="52"/>
        <v>5D98</v>
      </c>
      <c r="I454" s="89"/>
      <c r="J454" s="47" t="str">
        <f t="shared" ca="1" si="53"/>
        <v>599C</v>
      </c>
      <c r="K454" s="89"/>
      <c r="L454" s="89"/>
      <c r="M454" s="47" t="str">
        <f t="shared" ca="1" si="54"/>
        <v>68FC</v>
      </c>
      <c r="N454" s="89"/>
      <c r="O454" s="47" t="str">
        <f t="shared" ca="1" si="55"/>
        <v>6F17</v>
      </c>
    </row>
    <row r="455" spans="2:15">
      <c r="B455" s="48">
        <f t="shared" ca="1" si="49"/>
        <v>63183</v>
      </c>
      <c r="C455" s="49">
        <f ca="1">BitXOR(B455, $V$16)</f>
        <v>62155</v>
      </c>
      <c r="D455" s="64">
        <f t="shared" ca="1" si="50"/>
        <v>4867</v>
      </c>
      <c r="E455" s="64">
        <f t="shared" ca="1" si="51"/>
        <v>60002</v>
      </c>
      <c r="F455" s="89"/>
      <c r="G455" s="89"/>
      <c r="H455" s="47" t="str">
        <f t="shared" ca="1" si="52"/>
        <v>F6CF</v>
      </c>
      <c r="I455" s="89"/>
      <c r="J455" s="47" t="str">
        <f t="shared" ca="1" si="53"/>
        <v>F2CB</v>
      </c>
      <c r="K455" s="89"/>
      <c r="L455" s="89"/>
      <c r="M455" s="47" t="str">
        <f t="shared" ca="1" si="54"/>
        <v>1303</v>
      </c>
      <c r="N455" s="89"/>
      <c r="O455" s="47" t="str">
        <f t="shared" ca="1" si="55"/>
        <v>EA62</v>
      </c>
    </row>
    <row r="456" spans="2:15">
      <c r="B456" s="48">
        <f t="shared" ca="1" si="49"/>
        <v>39405</v>
      </c>
      <c r="C456" s="49">
        <f ca="1">BitXOR(B456, $V$16)</f>
        <v>40425</v>
      </c>
      <c r="D456" s="64">
        <f t="shared" ca="1" si="50"/>
        <v>48040</v>
      </c>
      <c r="E456" s="64">
        <f t="shared" ca="1" si="51"/>
        <v>65318</v>
      </c>
      <c r="F456" s="89"/>
      <c r="G456" s="89"/>
      <c r="H456" s="47" t="str">
        <f t="shared" ca="1" si="52"/>
        <v>99ED</v>
      </c>
      <c r="I456" s="89"/>
      <c r="J456" s="47" t="str">
        <f t="shared" ca="1" si="53"/>
        <v>9DE9</v>
      </c>
      <c r="K456" s="89"/>
      <c r="L456" s="89"/>
      <c r="M456" s="47" t="str">
        <f t="shared" ca="1" si="54"/>
        <v>BBA8</v>
      </c>
      <c r="N456" s="89"/>
      <c r="O456" s="47" t="str">
        <f t="shared" ca="1" si="55"/>
        <v>FF26</v>
      </c>
    </row>
    <row r="457" spans="2:15">
      <c r="B457" s="48">
        <f t="shared" ca="1" si="49"/>
        <v>54285</v>
      </c>
      <c r="C457" s="49">
        <f ca="1">BitXOR(B457, $V$16)</f>
        <v>53257</v>
      </c>
      <c r="D457" s="64">
        <f t="shared" ca="1" si="50"/>
        <v>61094</v>
      </c>
      <c r="E457" s="64">
        <f t="shared" ca="1" si="51"/>
        <v>55113</v>
      </c>
      <c r="F457" s="89"/>
      <c r="G457" s="89"/>
      <c r="H457" s="47" t="str">
        <f t="shared" ca="1" si="52"/>
        <v>D40D</v>
      </c>
      <c r="I457" s="89"/>
      <c r="J457" s="47" t="str">
        <f t="shared" ca="1" si="53"/>
        <v>D009</v>
      </c>
      <c r="K457" s="89"/>
      <c r="L457" s="89"/>
      <c r="M457" s="47" t="str">
        <f t="shared" ca="1" si="54"/>
        <v>EEA6</v>
      </c>
      <c r="N457" s="89"/>
      <c r="O457" s="47" t="str">
        <f t="shared" ca="1" si="55"/>
        <v>D749</v>
      </c>
    </row>
    <row r="458" spans="2:15">
      <c r="B458" s="48">
        <f t="shared" ca="1" si="49"/>
        <v>48647</v>
      </c>
      <c r="C458" s="49">
        <f ca="1">BitXOR(B458, $V$16)</f>
        <v>47619</v>
      </c>
      <c r="D458" s="64">
        <f t="shared" ca="1" si="50"/>
        <v>29235</v>
      </c>
      <c r="E458" s="64">
        <f t="shared" ca="1" si="51"/>
        <v>25402</v>
      </c>
      <c r="F458" s="89"/>
      <c r="G458" s="89"/>
      <c r="H458" s="47" t="str">
        <f t="shared" ca="1" si="52"/>
        <v>BE07</v>
      </c>
      <c r="I458" s="89"/>
      <c r="J458" s="47" t="str">
        <f t="shared" ca="1" si="53"/>
        <v>BA03</v>
      </c>
      <c r="K458" s="89"/>
      <c r="L458" s="89"/>
      <c r="M458" s="47" t="str">
        <f t="shared" ca="1" si="54"/>
        <v>7233</v>
      </c>
      <c r="N458" s="89"/>
      <c r="O458" s="47" t="str">
        <f t="shared" ca="1" si="55"/>
        <v>633A</v>
      </c>
    </row>
    <row r="459" spans="2:15">
      <c r="B459" s="48">
        <f t="shared" ca="1" si="49"/>
        <v>31084</v>
      </c>
      <c r="C459" s="49">
        <f ca="1">BitXOR(B459, $V$16)</f>
        <v>32104</v>
      </c>
      <c r="D459" s="64">
        <f t="shared" ca="1" si="50"/>
        <v>41578</v>
      </c>
      <c r="E459" s="64">
        <f t="shared" ca="1" si="51"/>
        <v>34410</v>
      </c>
      <c r="F459" s="89"/>
      <c r="G459" s="89"/>
      <c r="H459" s="47" t="str">
        <f t="shared" ca="1" si="52"/>
        <v>796C</v>
      </c>
      <c r="I459" s="89"/>
      <c r="J459" s="47" t="str">
        <f t="shared" ca="1" si="53"/>
        <v>7D68</v>
      </c>
      <c r="K459" s="89"/>
      <c r="L459" s="89"/>
      <c r="M459" s="47" t="str">
        <f t="shared" ca="1" si="54"/>
        <v>A26A</v>
      </c>
      <c r="N459" s="89"/>
      <c r="O459" s="47" t="str">
        <f t="shared" ca="1" si="55"/>
        <v>866A</v>
      </c>
    </row>
    <row r="460" spans="2:15">
      <c r="B460" s="48">
        <f t="shared" ca="1" si="49"/>
        <v>46122</v>
      </c>
      <c r="C460" s="49">
        <f ca="1">BitXOR(B460, $V$16)</f>
        <v>45102</v>
      </c>
      <c r="D460" s="64">
        <f t="shared" ca="1" si="50"/>
        <v>5397</v>
      </c>
      <c r="E460" s="64">
        <f t="shared" ca="1" si="51"/>
        <v>5454</v>
      </c>
      <c r="F460" s="89"/>
      <c r="G460" s="89"/>
      <c r="H460" s="47" t="str">
        <f t="shared" ca="1" si="52"/>
        <v>B42A</v>
      </c>
      <c r="I460" s="89"/>
      <c r="J460" s="47" t="str">
        <f t="shared" ca="1" si="53"/>
        <v>B02E</v>
      </c>
      <c r="K460" s="89"/>
      <c r="L460" s="89"/>
      <c r="M460" s="47" t="str">
        <f t="shared" ca="1" si="54"/>
        <v>1515</v>
      </c>
      <c r="N460" s="89"/>
      <c r="O460" s="47" t="str">
        <f t="shared" ca="1" si="55"/>
        <v>154E</v>
      </c>
    </row>
    <row r="461" spans="2:15">
      <c r="B461" s="48">
        <f t="shared" ca="1" si="49"/>
        <v>20155</v>
      </c>
      <c r="C461" s="49">
        <f ca="1">BitXOR(B461, $V$16)</f>
        <v>19135</v>
      </c>
      <c r="D461" s="64">
        <f t="shared" ca="1" si="50"/>
        <v>34408</v>
      </c>
      <c r="E461" s="64">
        <f t="shared" ca="1" si="51"/>
        <v>63544</v>
      </c>
      <c r="F461" s="89"/>
      <c r="G461" s="89"/>
      <c r="H461" s="47" t="str">
        <f t="shared" ca="1" si="52"/>
        <v>4EBB</v>
      </c>
      <c r="I461" s="89"/>
      <c r="J461" s="47" t="str">
        <f t="shared" ca="1" si="53"/>
        <v>4ABF</v>
      </c>
      <c r="K461" s="89"/>
      <c r="L461" s="89"/>
      <c r="M461" s="47" t="str">
        <f t="shared" ca="1" si="54"/>
        <v>8668</v>
      </c>
      <c r="N461" s="89"/>
      <c r="O461" s="47" t="str">
        <f t="shared" ca="1" si="55"/>
        <v>F838</v>
      </c>
    </row>
    <row r="462" spans="2:15">
      <c r="B462" s="48">
        <f t="shared" ca="1" si="49"/>
        <v>56239</v>
      </c>
      <c r="C462" s="49">
        <f ca="1">BitXOR(B462, $V$16)</f>
        <v>57259</v>
      </c>
      <c r="D462" s="64">
        <f t="shared" ca="1" si="50"/>
        <v>15656</v>
      </c>
      <c r="E462" s="64">
        <f t="shared" ca="1" si="51"/>
        <v>31017</v>
      </c>
      <c r="F462" s="89"/>
      <c r="G462" s="89"/>
      <c r="H462" s="47" t="str">
        <f t="shared" ca="1" si="52"/>
        <v>DBAF</v>
      </c>
      <c r="I462" s="89"/>
      <c r="J462" s="47" t="str">
        <f t="shared" ca="1" si="53"/>
        <v>DFAB</v>
      </c>
      <c r="K462" s="89"/>
      <c r="L462" s="89"/>
      <c r="M462" s="47" t="str">
        <f t="shared" ca="1" si="54"/>
        <v>3D28</v>
      </c>
      <c r="N462" s="89"/>
      <c r="O462" s="47" t="str">
        <f t="shared" ca="1" si="55"/>
        <v>7929</v>
      </c>
    </row>
    <row r="463" spans="2:15">
      <c r="B463" s="48">
        <f t="shared" ca="1" si="49"/>
        <v>18596</v>
      </c>
      <c r="C463" s="49">
        <f ca="1">BitXOR(B463, $V$16)</f>
        <v>19616</v>
      </c>
      <c r="D463" s="64">
        <f t="shared" ca="1" si="50"/>
        <v>17742</v>
      </c>
      <c r="E463" s="64">
        <f t="shared" ca="1" si="51"/>
        <v>16890</v>
      </c>
      <c r="F463" s="89"/>
      <c r="G463" s="89"/>
      <c r="H463" s="47" t="str">
        <f t="shared" ca="1" si="52"/>
        <v>48A4</v>
      </c>
      <c r="I463" s="89"/>
      <c r="J463" s="47" t="str">
        <f t="shared" ca="1" si="53"/>
        <v>4CA0</v>
      </c>
      <c r="K463" s="89"/>
      <c r="L463" s="89"/>
      <c r="M463" s="47" t="str">
        <f t="shared" ca="1" si="54"/>
        <v>454E</v>
      </c>
      <c r="N463" s="89"/>
      <c r="O463" s="47" t="str">
        <f t="shared" ca="1" si="55"/>
        <v>41FA</v>
      </c>
    </row>
    <row r="464" spans="2:15">
      <c r="B464" s="48">
        <f t="shared" ca="1" si="49"/>
        <v>63338</v>
      </c>
      <c r="C464" s="49">
        <f ca="1">BitXOR(B464, $V$16)</f>
        <v>62318</v>
      </c>
      <c r="D464" s="64">
        <f t="shared" ca="1" si="50"/>
        <v>5876</v>
      </c>
      <c r="E464" s="64">
        <f t="shared" ca="1" si="51"/>
        <v>15268</v>
      </c>
      <c r="F464" s="89"/>
      <c r="G464" s="89"/>
      <c r="H464" s="47" t="str">
        <f t="shared" ca="1" si="52"/>
        <v>F76A</v>
      </c>
      <c r="I464" s="89"/>
      <c r="J464" s="47" t="str">
        <f t="shared" ca="1" si="53"/>
        <v>F36E</v>
      </c>
      <c r="K464" s="89"/>
      <c r="L464" s="89"/>
      <c r="M464" s="47" t="str">
        <f t="shared" ca="1" si="54"/>
        <v>16F4</v>
      </c>
      <c r="N464" s="89"/>
      <c r="O464" s="47" t="str">
        <f t="shared" ca="1" si="55"/>
        <v>3BA4</v>
      </c>
    </row>
    <row r="465" spans="2:15">
      <c r="B465" s="48">
        <f t="shared" ca="1" si="49"/>
        <v>37642</v>
      </c>
      <c r="C465" s="49">
        <f ca="1">BitXOR(B465, $V$16)</f>
        <v>38670</v>
      </c>
      <c r="D465" s="64">
        <f t="shared" ca="1" si="50"/>
        <v>54246</v>
      </c>
      <c r="E465" s="64">
        <f t="shared" ca="1" si="51"/>
        <v>42411</v>
      </c>
      <c r="F465" s="89"/>
      <c r="G465" s="89"/>
      <c r="H465" s="47" t="str">
        <f t="shared" ca="1" si="52"/>
        <v>930A</v>
      </c>
      <c r="I465" s="89"/>
      <c r="J465" s="47" t="str">
        <f t="shared" ca="1" si="53"/>
        <v>970E</v>
      </c>
      <c r="K465" s="89"/>
      <c r="L465" s="89"/>
      <c r="M465" s="47" t="str">
        <f t="shared" ca="1" si="54"/>
        <v>D3E6</v>
      </c>
      <c r="N465" s="89"/>
      <c r="O465" s="47" t="str">
        <f t="shared" ca="1" si="55"/>
        <v>A5AB</v>
      </c>
    </row>
    <row r="466" spans="2:15">
      <c r="B466" s="48">
        <f t="shared" ca="1" si="49"/>
        <v>46365</v>
      </c>
      <c r="C466" s="49">
        <f ca="1">BitXOR(B466, $V$16)</f>
        <v>45337</v>
      </c>
      <c r="D466" s="64">
        <f t="shared" ca="1" si="50"/>
        <v>8821</v>
      </c>
      <c r="E466" s="64">
        <f t="shared" ca="1" si="51"/>
        <v>28576</v>
      </c>
      <c r="F466" s="89"/>
      <c r="G466" s="89"/>
      <c r="H466" s="47" t="str">
        <f t="shared" ca="1" si="52"/>
        <v>B51D</v>
      </c>
      <c r="I466" s="89"/>
      <c r="J466" s="47" t="str">
        <f t="shared" ca="1" si="53"/>
        <v>B119</v>
      </c>
      <c r="K466" s="89"/>
      <c r="L466" s="89"/>
      <c r="M466" s="47" t="str">
        <f t="shared" ca="1" si="54"/>
        <v>2275</v>
      </c>
      <c r="N466" s="89"/>
      <c r="O466" s="47" t="str">
        <f t="shared" ca="1" si="55"/>
        <v>6FA0</v>
      </c>
    </row>
    <row r="467" spans="2:15">
      <c r="B467" s="48">
        <f t="shared" ca="1" si="49"/>
        <v>3364</v>
      </c>
      <c r="C467" s="49">
        <f ca="1">BitXOR(B467, $V$16)</f>
        <v>2336</v>
      </c>
      <c r="D467" s="64">
        <f t="shared" ca="1" si="50"/>
        <v>26148</v>
      </c>
      <c r="E467" s="64">
        <f t="shared" ca="1" si="51"/>
        <v>3916</v>
      </c>
      <c r="F467" s="89"/>
      <c r="G467" s="89"/>
      <c r="H467" s="47" t="str">
        <f t="shared" ca="1" si="52"/>
        <v>0D24</v>
      </c>
      <c r="I467" s="89"/>
      <c r="J467" s="47" t="str">
        <f t="shared" ca="1" si="53"/>
        <v>0920</v>
      </c>
      <c r="K467" s="89"/>
      <c r="L467" s="89"/>
      <c r="M467" s="47" t="str">
        <f t="shared" ca="1" si="54"/>
        <v>6624</v>
      </c>
      <c r="N467" s="89"/>
      <c r="O467" s="47" t="str">
        <f t="shared" ca="1" si="55"/>
        <v>0F4C</v>
      </c>
    </row>
    <row r="468" spans="2:15">
      <c r="B468" s="48">
        <f t="shared" ca="1" si="49"/>
        <v>54471</v>
      </c>
      <c r="C468" s="49">
        <f ca="1">BitXOR(B468, $V$16)</f>
        <v>53443</v>
      </c>
      <c r="D468" s="64">
        <f t="shared" ca="1" si="50"/>
        <v>20270</v>
      </c>
      <c r="E468" s="64">
        <f t="shared" ca="1" si="51"/>
        <v>20442</v>
      </c>
      <c r="F468" s="89"/>
      <c r="G468" s="89"/>
      <c r="H468" s="47" t="str">
        <f t="shared" ca="1" si="52"/>
        <v>D4C7</v>
      </c>
      <c r="I468" s="89"/>
      <c r="J468" s="47" t="str">
        <f t="shared" ca="1" si="53"/>
        <v>D0C3</v>
      </c>
      <c r="K468" s="89"/>
      <c r="L468" s="89"/>
      <c r="M468" s="47" t="str">
        <f t="shared" ca="1" si="54"/>
        <v>4F2E</v>
      </c>
      <c r="N468" s="89"/>
      <c r="O468" s="47" t="str">
        <f t="shared" ca="1" si="55"/>
        <v>4FDA</v>
      </c>
    </row>
    <row r="469" spans="2:15">
      <c r="B469" s="48">
        <f t="shared" ca="1" si="49"/>
        <v>20686</v>
      </c>
      <c r="C469" s="49">
        <f ca="1">BitXOR(B469, $V$16)</f>
        <v>21706</v>
      </c>
      <c r="D469" s="64">
        <f t="shared" ca="1" si="50"/>
        <v>59117</v>
      </c>
      <c r="E469" s="64">
        <f t="shared" ca="1" si="51"/>
        <v>58043</v>
      </c>
      <c r="F469" s="89"/>
      <c r="G469" s="89"/>
      <c r="H469" s="47" t="str">
        <f t="shared" ca="1" si="52"/>
        <v>50CE</v>
      </c>
      <c r="I469" s="89"/>
      <c r="J469" s="47" t="str">
        <f t="shared" ca="1" si="53"/>
        <v>54CA</v>
      </c>
      <c r="K469" s="89"/>
      <c r="L469" s="89"/>
      <c r="M469" s="47" t="str">
        <f t="shared" ca="1" si="54"/>
        <v>E6ED</v>
      </c>
      <c r="N469" s="89"/>
      <c r="O469" s="47" t="str">
        <f t="shared" ca="1" si="55"/>
        <v>E2BB</v>
      </c>
    </row>
    <row r="470" spans="2:15">
      <c r="B470" s="48">
        <f t="shared" ca="1" si="49"/>
        <v>26091</v>
      </c>
      <c r="C470" s="49">
        <f ca="1">BitXOR(B470, $V$16)</f>
        <v>25071</v>
      </c>
      <c r="D470" s="64">
        <f t="shared" ca="1" si="50"/>
        <v>36449</v>
      </c>
      <c r="E470" s="64">
        <f t="shared" ca="1" si="51"/>
        <v>58033</v>
      </c>
      <c r="F470" s="89"/>
      <c r="G470" s="89"/>
      <c r="H470" s="47" t="str">
        <f t="shared" ca="1" si="52"/>
        <v>65EB</v>
      </c>
      <c r="I470" s="89"/>
      <c r="J470" s="47" t="str">
        <f t="shared" ca="1" si="53"/>
        <v>61EF</v>
      </c>
      <c r="K470" s="89"/>
      <c r="L470" s="89"/>
      <c r="M470" s="47" t="str">
        <f t="shared" ca="1" si="54"/>
        <v>8E61</v>
      </c>
      <c r="N470" s="89"/>
      <c r="O470" s="47" t="str">
        <f t="shared" ca="1" si="55"/>
        <v>E2B1</v>
      </c>
    </row>
    <row r="471" spans="2:15">
      <c r="B471" s="48">
        <f t="shared" ref="B471:B534" ca="1" si="56">RANDBETWEEN(1,2^16-1)</f>
        <v>29769</v>
      </c>
      <c r="C471" s="49">
        <f ca="1">BitXOR(B471, $V$16)</f>
        <v>28749</v>
      </c>
      <c r="D471" s="64">
        <f t="shared" ca="1" si="50"/>
        <v>52123</v>
      </c>
      <c r="E471" s="64">
        <f t="shared" ca="1" si="51"/>
        <v>52025</v>
      </c>
      <c r="F471" s="89"/>
      <c r="G471" s="89"/>
      <c r="H471" s="47" t="str">
        <f t="shared" ca="1" si="52"/>
        <v>7449</v>
      </c>
      <c r="I471" s="89"/>
      <c r="J471" s="47" t="str">
        <f t="shared" ca="1" si="53"/>
        <v>704D</v>
      </c>
      <c r="K471" s="89"/>
      <c r="L471" s="89"/>
      <c r="M471" s="47" t="str">
        <f t="shared" ca="1" si="54"/>
        <v>CB9B</v>
      </c>
      <c r="N471" s="89"/>
      <c r="O471" s="47" t="str">
        <f t="shared" ca="1" si="55"/>
        <v>CB39</v>
      </c>
    </row>
    <row r="472" spans="2:15">
      <c r="B472" s="48">
        <f t="shared" ca="1" si="56"/>
        <v>54273</v>
      </c>
      <c r="C472" s="49">
        <f ca="1">BitXOR(B472, $V$16)</f>
        <v>53253</v>
      </c>
      <c r="D472" s="64">
        <f t="shared" ca="1" si="50"/>
        <v>63568</v>
      </c>
      <c r="E472" s="64">
        <f t="shared" ca="1" si="51"/>
        <v>37227</v>
      </c>
      <c r="F472" s="89"/>
      <c r="G472" s="89"/>
      <c r="H472" s="47" t="str">
        <f t="shared" ca="1" si="52"/>
        <v>D401</v>
      </c>
      <c r="I472" s="89"/>
      <c r="J472" s="47" t="str">
        <f t="shared" ca="1" si="53"/>
        <v>D005</v>
      </c>
      <c r="K472" s="89"/>
      <c r="L472" s="89"/>
      <c r="M472" s="47" t="str">
        <f t="shared" ca="1" si="54"/>
        <v>F850</v>
      </c>
      <c r="N472" s="89"/>
      <c r="O472" s="47" t="str">
        <f t="shared" ca="1" si="55"/>
        <v>916B</v>
      </c>
    </row>
    <row r="473" spans="2:15">
      <c r="B473" s="48">
        <f t="shared" ca="1" si="56"/>
        <v>29141</v>
      </c>
      <c r="C473" s="49">
        <f ca="1">BitXOR(B473, $V$16)</f>
        <v>30161</v>
      </c>
      <c r="D473" s="64">
        <f t="shared" ca="1" si="50"/>
        <v>65382</v>
      </c>
      <c r="E473" s="64">
        <f t="shared" ca="1" si="51"/>
        <v>5919</v>
      </c>
      <c r="F473" s="89"/>
      <c r="G473" s="89"/>
      <c r="H473" s="47" t="str">
        <f t="shared" ca="1" si="52"/>
        <v>71D5</v>
      </c>
      <c r="I473" s="89"/>
      <c r="J473" s="47" t="str">
        <f t="shared" ca="1" si="53"/>
        <v>75D1</v>
      </c>
      <c r="K473" s="89"/>
      <c r="L473" s="89"/>
      <c r="M473" s="47" t="str">
        <f t="shared" ca="1" si="54"/>
        <v>FF66</v>
      </c>
      <c r="N473" s="89"/>
      <c r="O473" s="47" t="str">
        <f t="shared" ca="1" si="55"/>
        <v>171F</v>
      </c>
    </row>
    <row r="474" spans="2:15">
      <c r="B474" s="48">
        <f t="shared" ca="1" si="56"/>
        <v>58953</v>
      </c>
      <c r="C474" s="49">
        <f ca="1">BitXOR(B474, $V$16)</f>
        <v>57933</v>
      </c>
      <c r="D474" s="64">
        <f t="shared" ca="1" si="50"/>
        <v>27382</v>
      </c>
      <c r="E474" s="64">
        <f t="shared" ca="1" si="51"/>
        <v>7989</v>
      </c>
      <c r="F474" s="89"/>
      <c r="G474" s="89"/>
      <c r="H474" s="47" t="str">
        <f t="shared" ca="1" si="52"/>
        <v>E649</v>
      </c>
      <c r="I474" s="89"/>
      <c r="J474" s="47" t="str">
        <f t="shared" ca="1" si="53"/>
        <v>E24D</v>
      </c>
      <c r="K474" s="89"/>
      <c r="L474" s="89"/>
      <c r="M474" s="47" t="str">
        <f t="shared" ca="1" si="54"/>
        <v>6AF6</v>
      </c>
      <c r="N474" s="89"/>
      <c r="O474" s="47" t="str">
        <f t="shared" ca="1" si="55"/>
        <v>1F35</v>
      </c>
    </row>
    <row r="475" spans="2:15">
      <c r="B475" s="48">
        <f t="shared" ca="1" si="56"/>
        <v>10455</v>
      </c>
      <c r="C475" s="49">
        <f ca="1">BitXOR(B475, $V$16)</f>
        <v>11475</v>
      </c>
      <c r="D475" s="64">
        <f t="shared" ca="1" si="50"/>
        <v>5923</v>
      </c>
      <c r="E475" s="64">
        <f t="shared" ca="1" si="51"/>
        <v>8642</v>
      </c>
      <c r="F475" s="89"/>
      <c r="G475" s="89"/>
      <c r="H475" s="47" t="str">
        <f t="shared" ca="1" si="52"/>
        <v>28D7</v>
      </c>
      <c r="I475" s="89"/>
      <c r="J475" s="47" t="str">
        <f t="shared" ca="1" si="53"/>
        <v>2CD3</v>
      </c>
      <c r="K475" s="89"/>
      <c r="L475" s="89"/>
      <c r="M475" s="47" t="str">
        <f t="shared" ca="1" si="54"/>
        <v>1723</v>
      </c>
      <c r="N475" s="89"/>
      <c r="O475" s="47" t="str">
        <f t="shared" ca="1" si="55"/>
        <v>21C2</v>
      </c>
    </row>
    <row r="476" spans="2:15">
      <c r="B476" s="48">
        <f t="shared" ca="1" si="56"/>
        <v>43469</v>
      </c>
      <c r="C476" s="49">
        <f ca="1">BitXOR(B476, $V$16)</f>
        <v>44489</v>
      </c>
      <c r="D476" s="64">
        <f t="shared" ca="1" si="50"/>
        <v>6057</v>
      </c>
      <c r="E476" s="64">
        <f t="shared" ca="1" si="51"/>
        <v>28977</v>
      </c>
      <c r="F476" s="89"/>
      <c r="G476" s="89"/>
      <c r="H476" s="47" t="str">
        <f t="shared" ca="1" si="52"/>
        <v>A9CD</v>
      </c>
      <c r="I476" s="89"/>
      <c r="J476" s="47" t="str">
        <f t="shared" ca="1" si="53"/>
        <v>ADC9</v>
      </c>
      <c r="K476" s="89"/>
      <c r="L476" s="89"/>
      <c r="M476" s="47" t="str">
        <f t="shared" ca="1" si="54"/>
        <v>17A9</v>
      </c>
      <c r="N476" s="89"/>
      <c r="O476" s="47" t="str">
        <f t="shared" ca="1" si="55"/>
        <v>7131</v>
      </c>
    </row>
    <row r="477" spans="2:15">
      <c r="B477" s="48">
        <f t="shared" ca="1" si="56"/>
        <v>31329</v>
      </c>
      <c r="C477" s="49">
        <f ca="1">BitXOR(B477, $V$16)</f>
        <v>32357</v>
      </c>
      <c r="D477" s="64">
        <f t="shared" ca="1" si="50"/>
        <v>42638</v>
      </c>
      <c r="E477" s="64">
        <f t="shared" ca="1" si="51"/>
        <v>61064</v>
      </c>
      <c r="F477" s="89"/>
      <c r="G477" s="89"/>
      <c r="H477" s="47" t="str">
        <f t="shared" ca="1" si="52"/>
        <v>7A61</v>
      </c>
      <c r="I477" s="89"/>
      <c r="J477" s="47" t="str">
        <f t="shared" ca="1" si="53"/>
        <v>7E65</v>
      </c>
      <c r="K477" s="89"/>
      <c r="L477" s="89"/>
      <c r="M477" s="47" t="str">
        <f t="shared" ca="1" si="54"/>
        <v>A68E</v>
      </c>
      <c r="N477" s="89"/>
      <c r="O477" s="47" t="str">
        <f t="shared" ca="1" si="55"/>
        <v>EE88</v>
      </c>
    </row>
    <row r="478" spans="2:15">
      <c r="B478" s="48">
        <f t="shared" ca="1" si="56"/>
        <v>30808</v>
      </c>
      <c r="C478" s="49">
        <f ca="1">BitXOR(B478, $V$16)</f>
        <v>31836</v>
      </c>
      <c r="D478" s="64">
        <f t="shared" ca="1" si="50"/>
        <v>22146</v>
      </c>
      <c r="E478" s="64">
        <f t="shared" ca="1" si="51"/>
        <v>57863</v>
      </c>
      <c r="F478" s="89"/>
      <c r="G478" s="89"/>
      <c r="H478" s="47" t="str">
        <f t="shared" ca="1" si="52"/>
        <v>7858</v>
      </c>
      <c r="I478" s="89"/>
      <c r="J478" s="47" t="str">
        <f t="shared" ca="1" si="53"/>
        <v>7C5C</v>
      </c>
      <c r="K478" s="89"/>
      <c r="L478" s="89"/>
      <c r="M478" s="47" t="str">
        <f t="shared" ca="1" si="54"/>
        <v>5682</v>
      </c>
      <c r="N478" s="89"/>
      <c r="O478" s="47" t="str">
        <f t="shared" ca="1" si="55"/>
        <v>E207</v>
      </c>
    </row>
    <row r="479" spans="2:15">
      <c r="B479" s="48">
        <f t="shared" ca="1" si="56"/>
        <v>41784</v>
      </c>
      <c r="C479" s="49">
        <f ca="1">BitXOR(B479, $V$16)</f>
        <v>42812</v>
      </c>
      <c r="D479" s="64">
        <f t="shared" ca="1" si="50"/>
        <v>1180</v>
      </c>
      <c r="E479" s="64">
        <f t="shared" ca="1" si="51"/>
        <v>64279</v>
      </c>
      <c r="F479" s="89"/>
      <c r="G479" s="89"/>
      <c r="H479" s="47" t="str">
        <f t="shared" ca="1" si="52"/>
        <v>A338</v>
      </c>
      <c r="I479" s="89"/>
      <c r="J479" s="47" t="str">
        <f t="shared" ca="1" si="53"/>
        <v>A73C</v>
      </c>
      <c r="K479" s="89"/>
      <c r="L479" s="89"/>
      <c r="M479" s="47" t="str">
        <f t="shared" ca="1" si="54"/>
        <v>049C</v>
      </c>
      <c r="N479" s="89"/>
      <c r="O479" s="47" t="str">
        <f t="shared" ca="1" si="55"/>
        <v>FB17</v>
      </c>
    </row>
    <row r="480" spans="2:15">
      <c r="B480" s="48">
        <f t="shared" ca="1" si="56"/>
        <v>10856</v>
      </c>
      <c r="C480" s="49">
        <f ca="1">BitXOR(B480, $V$16)</f>
        <v>11884</v>
      </c>
      <c r="D480" s="64">
        <f t="shared" ca="1" si="50"/>
        <v>42388</v>
      </c>
      <c r="E480" s="64">
        <f t="shared" ca="1" si="51"/>
        <v>37632</v>
      </c>
      <c r="F480" s="89"/>
      <c r="G480" s="89"/>
      <c r="H480" s="47" t="str">
        <f t="shared" ca="1" si="52"/>
        <v>2A68</v>
      </c>
      <c r="I480" s="89"/>
      <c r="J480" s="47" t="str">
        <f t="shared" ca="1" si="53"/>
        <v>2E6C</v>
      </c>
      <c r="K480" s="89"/>
      <c r="L480" s="89"/>
      <c r="M480" s="47" t="str">
        <f t="shared" ca="1" si="54"/>
        <v>A594</v>
      </c>
      <c r="N480" s="89"/>
      <c r="O480" s="47" t="str">
        <f t="shared" ca="1" si="55"/>
        <v>9300</v>
      </c>
    </row>
    <row r="481" spans="2:15">
      <c r="B481" s="48">
        <f t="shared" ca="1" si="56"/>
        <v>15680</v>
      </c>
      <c r="C481" s="49">
        <f ca="1">BitXOR(B481, $V$16)</f>
        <v>14660</v>
      </c>
      <c r="D481" s="64">
        <f t="shared" ca="1" si="50"/>
        <v>57612</v>
      </c>
      <c r="E481" s="64">
        <f t="shared" ca="1" si="51"/>
        <v>57468</v>
      </c>
      <c r="F481" s="89"/>
      <c r="G481" s="89"/>
      <c r="H481" s="47" t="str">
        <f t="shared" ca="1" si="52"/>
        <v>3D40</v>
      </c>
      <c r="I481" s="89"/>
      <c r="J481" s="47" t="str">
        <f t="shared" ca="1" si="53"/>
        <v>3944</v>
      </c>
      <c r="K481" s="89"/>
      <c r="L481" s="89"/>
      <c r="M481" s="47" t="str">
        <f t="shared" ca="1" si="54"/>
        <v>E10C</v>
      </c>
      <c r="N481" s="89"/>
      <c r="O481" s="47" t="str">
        <f t="shared" ca="1" si="55"/>
        <v>E07C</v>
      </c>
    </row>
    <row r="482" spans="2:15">
      <c r="B482" s="48">
        <f t="shared" ca="1" si="56"/>
        <v>39321</v>
      </c>
      <c r="C482" s="49">
        <f ca="1">BitXOR(B482, $V$16)</f>
        <v>40349</v>
      </c>
      <c r="D482" s="64">
        <f t="shared" ca="1" si="50"/>
        <v>60935</v>
      </c>
      <c r="E482" s="64">
        <f t="shared" ca="1" si="51"/>
        <v>9801</v>
      </c>
      <c r="F482" s="89"/>
      <c r="G482" s="89"/>
      <c r="H482" s="47" t="str">
        <f t="shared" ca="1" si="52"/>
        <v>9999</v>
      </c>
      <c r="I482" s="89"/>
      <c r="J482" s="47" t="str">
        <f t="shared" ca="1" si="53"/>
        <v>9D9D</v>
      </c>
      <c r="K482" s="89"/>
      <c r="L482" s="89"/>
      <c r="M482" s="47" t="str">
        <f t="shared" ca="1" si="54"/>
        <v>EE07</v>
      </c>
      <c r="N482" s="89"/>
      <c r="O482" s="47" t="str">
        <f t="shared" ca="1" si="55"/>
        <v>2649</v>
      </c>
    </row>
    <row r="483" spans="2:15">
      <c r="B483" s="48">
        <f t="shared" ca="1" si="56"/>
        <v>64406</v>
      </c>
      <c r="C483" s="49">
        <f ca="1">BitXOR(B483, $V$16)</f>
        <v>65426</v>
      </c>
      <c r="D483" s="64">
        <f t="shared" ca="1" si="50"/>
        <v>26355</v>
      </c>
      <c r="E483" s="64">
        <f t="shared" ca="1" si="51"/>
        <v>54796</v>
      </c>
      <c r="F483" s="89"/>
      <c r="G483" s="89"/>
      <c r="H483" s="47" t="str">
        <f t="shared" ca="1" si="52"/>
        <v>FB96</v>
      </c>
      <c r="I483" s="89"/>
      <c r="J483" s="47" t="str">
        <f t="shared" ca="1" si="53"/>
        <v>FF92</v>
      </c>
      <c r="K483" s="89"/>
      <c r="L483" s="89"/>
      <c r="M483" s="47" t="str">
        <f t="shared" ca="1" si="54"/>
        <v>66F3</v>
      </c>
      <c r="N483" s="89"/>
      <c r="O483" s="47" t="str">
        <f t="shared" ca="1" si="55"/>
        <v>D60C</v>
      </c>
    </row>
    <row r="484" spans="2:15">
      <c r="B484" s="48">
        <f t="shared" ca="1" si="56"/>
        <v>19650</v>
      </c>
      <c r="C484" s="49">
        <f ca="1">BitXOR(B484, $V$16)</f>
        <v>18630</v>
      </c>
      <c r="D484" s="64">
        <f t="shared" ca="1" si="50"/>
        <v>3514</v>
      </c>
      <c r="E484" s="64">
        <f t="shared" ca="1" si="51"/>
        <v>25826</v>
      </c>
      <c r="F484" s="89"/>
      <c r="G484" s="89"/>
      <c r="H484" s="47" t="str">
        <f t="shared" ca="1" si="52"/>
        <v>4CC2</v>
      </c>
      <c r="I484" s="89"/>
      <c r="J484" s="47" t="str">
        <f t="shared" ca="1" si="53"/>
        <v>48C6</v>
      </c>
      <c r="K484" s="89"/>
      <c r="L484" s="89"/>
      <c r="M484" s="47" t="str">
        <f t="shared" ca="1" si="54"/>
        <v>0DBA</v>
      </c>
      <c r="N484" s="89"/>
      <c r="O484" s="47" t="str">
        <f t="shared" ca="1" si="55"/>
        <v>64E2</v>
      </c>
    </row>
    <row r="485" spans="2:15">
      <c r="B485" s="48">
        <f t="shared" ca="1" si="56"/>
        <v>44531</v>
      </c>
      <c r="C485" s="49">
        <f ca="1">BitXOR(B485, $V$16)</f>
        <v>43511</v>
      </c>
      <c r="D485" s="64">
        <f t="shared" ref="D485:D548" ca="1" si="57">Encrypt(B485, $D$2:$S$3, $D$6:$S$7, $V$10,$V$11,$V$12,$W$10,$W$11)</f>
        <v>34769</v>
      </c>
      <c r="E485" s="64">
        <f t="shared" ref="E485:E548" ca="1" si="58">Encrypt(C485, $D$2:$S$3, $D$6:$S$7, $V$10,$V$11,$V$12,$W$10,$W$11)</f>
        <v>18274</v>
      </c>
      <c r="F485" s="89"/>
      <c r="G485" s="89"/>
      <c r="H485" s="47" t="str">
        <f t="shared" ref="H485:H548" ca="1" si="59">DEC2HEX(B485,4)</f>
        <v>ADF3</v>
      </c>
      <c r="I485" s="89"/>
      <c r="J485" s="47" t="str">
        <f t="shared" ref="J485:J548" ca="1" si="60">DEC2HEX(C485,4)</f>
        <v>A9F7</v>
      </c>
      <c r="K485" s="89"/>
      <c r="L485" s="89"/>
      <c r="M485" s="47" t="str">
        <f t="shared" ref="M485:M548" ca="1" si="61">DEC2HEX(D485,4)</f>
        <v>87D1</v>
      </c>
      <c r="N485" s="89"/>
      <c r="O485" s="47" t="str">
        <f t="shared" ref="O485:O548" ca="1" si="62">DEC2HEX(E485,4)</f>
        <v>4762</v>
      </c>
    </row>
    <row r="486" spans="2:15">
      <c r="B486" s="48">
        <f t="shared" ca="1" si="56"/>
        <v>2760</v>
      </c>
      <c r="C486" s="49">
        <f ca="1">BitXOR(B486, $V$16)</f>
        <v>3788</v>
      </c>
      <c r="D486" s="64">
        <f t="shared" ca="1" si="57"/>
        <v>23539</v>
      </c>
      <c r="E486" s="64">
        <f t="shared" ca="1" si="58"/>
        <v>47840</v>
      </c>
      <c r="F486" s="89"/>
      <c r="G486" s="89"/>
      <c r="H486" s="47" t="str">
        <f t="shared" ca="1" si="59"/>
        <v>0AC8</v>
      </c>
      <c r="I486" s="89"/>
      <c r="J486" s="47" t="str">
        <f t="shared" ca="1" si="60"/>
        <v>0ECC</v>
      </c>
      <c r="K486" s="89"/>
      <c r="L486" s="89"/>
      <c r="M486" s="47" t="str">
        <f t="shared" ca="1" si="61"/>
        <v>5BF3</v>
      </c>
      <c r="N486" s="89"/>
      <c r="O486" s="47" t="str">
        <f t="shared" ca="1" si="62"/>
        <v>BAE0</v>
      </c>
    </row>
    <row r="487" spans="2:15">
      <c r="B487" s="48">
        <f t="shared" ca="1" si="56"/>
        <v>56515</v>
      </c>
      <c r="C487" s="49">
        <f ca="1">BitXOR(B487, $V$16)</f>
        <v>55495</v>
      </c>
      <c r="D487" s="64">
        <f t="shared" ca="1" si="57"/>
        <v>17353</v>
      </c>
      <c r="E487" s="64">
        <f t="shared" ca="1" si="58"/>
        <v>51778</v>
      </c>
      <c r="F487" s="89"/>
      <c r="G487" s="89"/>
      <c r="H487" s="47" t="str">
        <f t="shared" ca="1" si="59"/>
        <v>DCC3</v>
      </c>
      <c r="I487" s="89"/>
      <c r="J487" s="47" t="str">
        <f t="shared" ca="1" si="60"/>
        <v>D8C7</v>
      </c>
      <c r="K487" s="89"/>
      <c r="L487" s="89"/>
      <c r="M487" s="47" t="str">
        <f t="shared" ca="1" si="61"/>
        <v>43C9</v>
      </c>
      <c r="N487" s="89"/>
      <c r="O487" s="47" t="str">
        <f t="shared" ca="1" si="62"/>
        <v>CA42</v>
      </c>
    </row>
    <row r="488" spans="2:15">
      <c r="B488" s="48">
        <f t="shared" ca="1" si="56"/>
        <v>9641</v>
      </c>
      <c r="C488" s="49">
        <f ca="1">BitXOR(B488, $V$16)</f>
        <v>8621</v>
      </c>
      <c r="D488" s="64">
        <f t="shared" ca="1" si="57"/>
        <v>40173</v>
      </c>
      <c r="E488" s="64">
        <f t="shared" ca="1" si="58"/>
        <v>56679</v>
      </c>
      <c r="F488" s="89"/>
      <c r="G488" s="89"/>
      <c r="H488" s="47" t="str">
        <f t="shared" ca="1" si="59"/>
        <v>25A9</v>
      </c>
      <c r="I488" s="89"/>
      <c r="J488" s="47" t="str">
        <f t="shared" ca="1" si="60"/>
        <v>21AD</v>
      </c>
      <c r="K488" s="89"/>
      <c r="L488" s="89"/>
      <c r="M488" s="47" t="str">
        <f t="shared" ca="1" si="61"/>
        <v>9CED</v>
      </c>
      <c r="N488" s="89"/>
      <c r="O488" s="47" t="str">
        <f t="shared" ca="1" si="62"/>
        <v>DD67</v>
      </c>
    </row>
    <row r="489" spans="2:15">
      <c r="B489" s="48">
        <f t="shared" ca="1" si="56"/>
        <v>8021</v>
      </c>
      <c r="C489" s="49">
        <f ca="1">BitXOR(B489, $V$16)</f>
        <v>6993</v>
      </c>
      <c r="D489" s="64">
        <f t="shared" ca="1" si="57"/>
        <v>24672</v>
      </c>
      <c r="E489" s="64">
        <f t="shared" ca="1" si="58"/>
        <v>49165</v>
      </c>
      <c r="F489" s="89"/>
      <c r="G489" s="89"/>
      <c r="H489" s="47" t="str">
        <f t="shared" ca="1" si="59"/>
        <v>1F55</v>
      </c>
      <c r="I489" s="89"/>
      <c r="J489" s="47" t="str">
        <f t="shared" ca="1" si="60"/>
        <v>1B51</v>
      </c>
      <c r="K489" s="89"/>
      <c r="L489" s="89"/>
      <c r="M489" s="47" t="str">
        <f t="shared" ca="1" si="61"/>
        <v>6060</v>
      </c>
      <c r="N489" s="89"/>
      <c r="O489" s="47" t="str">
        <f t="shared" ca="1" si="62"/>
        <v>C00D</v>
      </c>
    </row>
    <row r="490" spans="2:15">
      <c r="B490" s="48">
        <f t="shared" ca="1" si="56"/>
        <v>15620</v>
      </c>
      <c r="C490" s="49">
        <f ca="1">BitXOR(B490, $V$16)</f>
        <v>14592</v>
      </c>
      <c r="D490" s="64">
        <f t="shared" ca="1" si="57"/>
        <v>64788</v>
      </c>
      <c r="E490" s="64">
        <f t="shared" ca="1" si="58"/>
        <v>55100</v>
      </c>
      <c r="F490" s="89"/>
      <c r="G490" s="89"/>
      <c r="H490" s="47" t="str">
        <f t="shared" ca="1" si="59"/>
        <v>3D04</v>
      </c>
      <c r="I490" s="89"/>
      <c r="J490" s="47" t="str">
        <f t="shared" ca="1" si="60"/>
        <v>3900</v>
      </c>
      <c r="K490" s="89"/>
      <c r="L490" s="89"/>
      <c r="M490" s="47" t="str">
        <f t="shared" ca="1" si="61"/>
        <v>FD14</v>
      </c>
      <c r="N490" s="89"/>
      <c r="O490" s="47" t="str">
        <f t="shared" ca="1" si="62"/>
        <v>D73C</v>
      </c>
    </row>
    <row r="491" spans="2:15">
      <c r="B491" s="48">
        <f t="shared" ca="1" si="56"/>
        <v>40917</v>
      </c>
      <c r="C491" s="49">
        <f ca="1">BitXOR(B491, $V$16)</f>
        <v>39889</v>
      </c>
      <c r="D491" s="64">
        <f t="shared" ca="1" si="57"/>
        <v>19462</v>
      </c>
      <c r="E491" s="64">
        <f t="shared" ca="1" si="58"/>
        <v>2367</v>
      </c>
      <c r="F491" s="89"/>
      <c r="G491" s="89"/>
      <c r="H491" s="47" t="str">
        <f t="shared" ca="1" si="59"/>
        <v>9FD5</v>
      </c>
      <c r="I491" s="89"/>
      <c r="J491" s="47" t="str">
        <f t="shared" ca="1" si="60"/>
        <v>9BD1</v>
      </c>
      <c r="K491" s="89"/>
      <c r="L491" s="89"/>
      <c r="M491" s="47" t="str">
        <f t="shared" ca="1" si="61"/>
        <v>4C06</v>
      </c>
      <c r="N491" s="89"/>
      <c r="O491" s="47" t="str">
        <f t="shared" ca="1" si="62"/>
        <v>093F</v>
      </c>
    </row>
    <row r="492" spans="2:15">
      <c r="B492" s="48">
        <f t="shared" ca="1" si="56"/>
        <v>44716</v>
      </c>
      <c r="C492" s="49">
        <f ca="1">BitXOR(B492, $V$16)</f>
        <v>43688</v>
      </c>
      <c r="D492" s="64">
        <f t="shared" ca="1" si="57"/>
        <v>41656</v>
      </c>
      <c r="E492" s="64">
        <f t="shared" ca="1" si="58"/>
        <v>57837</v>
      </c>
      <c r="F492" s="89"/>
      <c r="G492" s="89"/>
      <c r="H492" s="47" t="str">
        <f t="shared" ca="1" si="59"/>
        <v>AEAC</v>
      </c>
      <c r="I492" s="89"/>
      <c r="J492" s="47" t="str">
        <f t="shared" ca="1" si="60"/>
        <v>AAA8</v>
      </c>
      <c r="K492" s="89"/>
      <c r="L492" s="89"/>
      <c r="M492" s="47" t="str">
        <f t="shared" ca="1" si="61"/>
        <v>A2B8</v>
      </c>
      <c r="N492" s="89"/>
      <c r="O492" s="47" t="str">
        <f t="shared" ca="1" si="62"/>
        <v>E1ED</v>
      </c>
    </row>
    <row r="493" spans="2:15">
      <c r="B493" s="48">
        <f t="shared" ca="1" si="56"/>
        <v>15014</v>
      </c>
      <c r="C493" s="49">
        <f ca="1">BitXOR(B493, $V$16)</f>
        <v>16034</v>
      </c>
      <c r="D493" s="64">
        <f t="shared" ca="1" si="57"/>
        <v>41362</v>
      </c>
      <c r="E493" s="64">
        <f t="shared" ca="1" si="58"/>
        <v>54098</v>
      </c>
      <c r="F493" s="89"/>
      <c r="G493" s="89"/>
      <c r="H493" s="47" t="str">
        <f t="shared" ca="1" si="59"/>
        <v>3AA6</v>
      </c>
      <c r="I493" s="89"/>
      <c r="J493" s="47" t="str">
        <f t="shared" ca="1" si="60"/>
        <v>3EA2</v>
      </c>
      <c r="K493" s="89"/>
      <c r="L493" s="89"/>
      <c r="M493" s="47" t="str">
        <f t="shared" ca="1" si="61"/>
        <v>A192</v>
      </c>
      <c r="N493" s="89"/>
      <c r="O493" s="47" t="str">
        <f t="shared" ca="1" si="62"/>
        <v>D352</v>
      </c>
    </row>
    <row r="494" spans="2:15">
      <c r="B494" s="48">
        <f t="shared" ca="1" si="56"/>
        <v>44826</v>
      </c>
      <c r="C494" s="49">
        <f ca="1">BitXOR(B494, $V$16)</f>
        <v>43806</v>
      </c>
      <c r="D494" s="64">
        <f t="shared" ca="1" si="57"/>
        <v>22511</v>
      </c>
      <c r="E494" s="64">
        <f t="shared" ca="1" si="58"/>
        <v>25530</v>
      </c>
      <c r="F494" s="89"/>
      <c r="G494" s="89"/>
      <c r="H494" s="47" t="str">
        <f t="shared" ca="1" si="59"/>
        <v>AF1A</v>
      </c>
      <c r="I494" s="89"/>
      <c r="J494" s="47" t="str">
        <f t="shared" ca="1" si="60"/>
        <v>AB1E</v>
      </c>
      <c r="K494" s="89"/>
      <c r="L494" s="89"/>
      <c r="M494" s="47" t="str">
        <f t="shared" ca="1" si="61"/>
        <v>57EF</v>
      </c>
      <c r="N494" s="89"/>
      <c r="O494" s="47" t="str">
        <f t="shared" ca="1" si="62"/>
        <v>63BA</v>
      </c>
    </row>
    <row r="495" spans="2:15">
      <c r="B495" s="48">
        <f t="shared" ca="1" si="56"/>
        <v>63018</v>
      </c>
      <c r="C495" s="49">
        <f ca="1">BitXOR(B495, $V$16)</f>
        <v>61998</v>
      </c>
      <c r="D495" s="64">
        <f t="shared" ca="1" si="57"/>
        <v>9075</v>
      </c>
      <c r="E495" s="64">
        <f t="shared" ca="1" si="58"/>
        <v>10579</v>
      </c>
      <c r="F495" s="89"/>
      <c r="G495" s="89"/>
      <c r="H495" s="47" t="str">
        <f t="shared" ca="1" si="59"/>
        <v>F62A</v>
      </c>
      <c r="I495" s="89"/>
      <c r="J495" s="47" t="str">
        <f t="shared" ca="1" si="60"/>
        <v>F22E</v>
      </c>
      <c r="K495" s="89"/>
      <c r="L495" s="89"/>
      <c r="M495" s="47" t="str">
        <f t="shared" ca="1" si="61"/>
        <v>2373</v>
      </c>
      <c r="N495" s="89"/>
      <c r="O495" s="47" t="str">
        <f t="shared" ca="1" si="62"/>
        <v>2953</v>
      </c>
    </row>
    <row r="496" spans="2:15">
      <c r="B496" s="48">
        <f t="shared" ca="1" si="56"/>
        <v>38791</v>
      </c>
      <c r="C496" s="49">
        <f ca="1">BitXOR(B496, $V$16)</f>
        <v>37763</v>
      </c>
      <c r="D496" s="64">
        <f t="shared" ca="1" si="57"/>
        <v>51200</v>
      </c>
      <c r="E496" s="64">
        <f t="shared" ca="1" si="58"/>
        <v>51369</v>
      </c>
      <c r="F496" s="89"/>
      <c r="G496" s="89"/>
      <c r="H496" s="47" t="str">
        <f t="shared" ca="1" si="59"/>
        <v>9787</v>
      </c>
      <c r="I496" s="89"/>
      <c r="J496" s="47" t="str">
        <f t="shared" ca="1" si="60"/>
        <v>9383</v>
      </c>
      <c r="K496" s="89"/>
      <c r="L496" s="89"/>
      <c r="M496" s="47" t="str">
        <f t="shared" ca="1" si="61"/>
        <v>C800</v>
      </c>
      <c r="N496" s="89"/>
      <c r="O496" s="47" t="str">
        <f t="shared" ca="1" si="62"/>
        <v>C8A9</v>
      </c>
    </row>
    <row r="497" spans="2:15">
      <c r="B497" s="48">
        <f t="shared" ca="1" si="56"/>
        <v>65235</v>
      </c>
      <c r="C497" s="49">
        <f ca="1">BitXOR(B497, $V$16)</f>
        <v>64215</v>
      </c>
      <c r="D497" s="64">
        <f t="shared" ca="1" si="57"/>
        <v>8653</v>
      </c>
      <c r="E497" s="64">
        <f t="shared" ca="1" si="58"/>
        <v>13602</v>
      </c>
      <c r="F497" s="89"/>
      <c r="G497" s="89"/>
      <c r="H497" s="47" t="str">
        <f t="shared" ca="1" si="59"/>
        <v>FED3</v>
      </c>
      <c r="I497" s="89"/>
      <c r="J497" s="47" t="str">
        <f t="shared" ca="1" si="60"/>
        <v>FAD7</v>
      </c>
      <c r="K497" s="89"/>
      <c r="L497" s="89"/>
      <c r="M497" s="47" t="str">
        <f t="shared" ca="1" si="61"/>
        <v>21CD</v>
      </c>
      <c r="N497" s="89"/>
      <c r="O497" s="47" t="str">
        <f t="shared" ca="1" si="62"/>
        <v>3522</v>
      </c>
    </row>
    <row r="498" spans="2:15">
      <c r="B498" s="48">
        <f t="shared" ca="1" si="56"/>
        <v>48075</v>
      </c>
      <c r="C498" s="49">
        <f ca="1">BitXOR(B498, $V$16)</f>
        <v>49103</v>
      </c>
      <c r="D498" s="64">
        <f t="shared" ca="1" si="57"/>
        <v>60247</v>
      </c>
      <c r="E498" s="64">
        <f t="shared" ca="1" si="58"/>
        <v>54706</v>
      </c>
      <c r="F498" s="89"/>
      <c r="G498" s="89"/>
      <c r="H498" s="47" t="str">
        <f t="shared" ca="1" si="59"/>
        <v>BBCB</v>
      </c>
      <c r="I498" s="89"/>
      <c r="J498" s="47" t="str">
        <f t="shared" ca="1" si="60"/>
        <v>BFCF</v>
      </c>
      <c r="K498" s="89"/>
      <c r="L498" s="89"/>
      <c r="M498" s="47" t="str">
        <f t="shared" ca="1" si="61"/>
        <v>EB57</v>
      </c>
      <c r="N498" s="89"/>
      <c r="O498" s="47" t="str">
        <f t="shared" ca="1" si="62"/>
        <v>D5B2</v>
      </c>
    </row>
    <row r="499" spans="2:15">
      <c r="B499" s="48">
        <f t="shared" ca="1" si="56"/>
        <v>25805</v>
      </c>
      <c r="C499" s="49">
        <f ca="1">BitXOR(B499, $V$16)</f>
        <v>24777</v>
      </c>
      <c r="D499" s="64">
        <f t="shared" ca="1" si="57"/>
        <v>20053</v>
      </c>
      <c r="E499" s="64">
        <f t="shared" ca="1" si="58"/>
        <v>45961</v>
      </c>
      <c r="F499" s="89"/>
      <c r="G499" s="89"/>
      <c r="H499" s="47" t="str">
        <f t="shared" ca="1" si="59"/>
        <v>64CD</v>
      </c>
      <c r="I499" s="89"/>
      <c r="J499" s="47" t="str">
        <f t="shared" ca="1" si="60"/>
        <v>60C9</v>
      </c>
      <c r="K499" s="89"/>
      <c r="L499" s="89"/>
      <c r="M499" s="47" t="str">
        <f t="shared" ca="1" si="61"/>
        <v>4E55</v>
      </c>
      <c r="N499" s="89"/>
      <c r="O499" s="47" t="str">
        <f t="shared" ca="1" si="62"/>
        <v>B389</v>
      </c>
    </row>
    <row r="500" spans="2:15">
      <c r="B500" s="48">
        <f t="shared" ca="1" si="56"/>
        <v>46962</v>
      </c>
      <c r="C500" s="49">
        <f ca="1">BitXOR(B500, $V$16)</f>
        <v>45942</v>
      </c>
      <c r="D500" s="64">
        <f t="shared" ca="1" si="57"/>
        <v>13979</v>
      </c>
      <c r="E500" s="64">
        <f t="shared" ca="1" si="58"/>
        <v>44845</v>
      </c>
      <c r="F500" s="89"/>
      <c r="G500" s="89"/>
      <c r="H500" s="47" t="str">
        <f t="shared" ca="1" si="59"/>
        <v>B772</v>
      </c>
      <c r="I500" s="89"/>
      <c r="J500" s="47" t="str">
        <f t="shared" ca="1" si="60"/>
        <v>B376</v>
      </c>
      <c r="K500" s="89"/>
      <c r="L500" s="89"/>
      <c r="M500" s="47" t="str">
        <f t="shared" ca="1" si="61"/>
        <v>369B</v>
      </c>
      <c r="N500" s="89"/>
      <c r="O500" s="47" t="str">
        <f t="shared" ca="1" si="62"/>
        <v>AF2D</v>
      </c>
    </row>
    <row r="501" spans="2:15">
      <c r="B501" s="48">
        <f t="shared" ca="1" si="56"/>
        <v>51177</v>
      </c>
      <c r="C501" s="49">
        <f ca="1">BitXOR(B501, $V$16)</f>
        <v>50157</v>
      </c>
      <c r="D501" s="64">
        <f t="shared" ca="1" si="57"/>
        <v>48961</v>
      </c>
      <c r="E501" s="64">
        <f t="shared" ca="1" si="58"/>
        <v>48967</v>
      </c>
      <c r="F501" s="89"/>
      <c r="G501" s="89"/>
      <c r="H501" s="47" t="str">
        <f t="shared" ca="1" si="59"/>
        <v>C7E9</v>
      </c>
      <c r="I501" s="89"/>
      <c r="J501" s="47" t="str">
        <f t="shared" ca="1" si="60"/>
        <v>C3ED</v>
      </c>
      <c r="K501" s="89"/>
      <c r="L501" s="89"/>
      <c r="M501" s="47" t="str">
        <f t="shared" ca="1" si="61"/>
        <v>BF41</v>
      </c>
      <c r="N501" s="89"/>
      <c r="O501" s="47" t="str">
        <f t="shared" ca="1" si="62"/>
        <v>BF47</v>
      </c>
    </row>
    <row r="502" spans="2:15">
      <c r="B502" s="48">
        <f t="shared" ca="1" si="56"/>
        <v>50717</v>
      </c>
      <c r="C502" s="49">
        <f ca="1">BitXOR(B502, $V$16)</f>
        <v>49689</v>
      </c>
      <c r="D502" s="64">
        <f t="shared" ca="1" si="57"/>
        <v>14827</v>
      </c>
      <c r="E502" s="64">
        <f t="shared" ca="1" si="58"/>
        <v>4005</v>
      </c>
      <c r="F502" s="89"/>
      <c r="G502" s="89"/>
      <c r="H502" s="47" t="str">
        <f t="shared" ca="1" si="59"/>
        <v>C61D</v>
      </c>
      <c r="I502" s="89"/>
      <c r="J502" s="47" t="str">
        <f t="shared" ca="1" si="60"/>
        <v>C219</v>
      </c>
      <c r="K502" s="89"/>
      <c r="L502" s="89"/>
      <c r="M502" s="47" t="str">
        <f t="shared" ca="1" si="61"/>
        <v>39EB</v>
      </c>
      <c r="N502" s="89"/>
      <c r="O502" s="47" t="str">
        <f t="shared" ca="1" si="62"/>
        <v>0FA5</v>
      </c>
    </row>
    <row r="503" spans="2:15">
      <c r="B503" s="48">
        <f t="shared" ca="1" si="56"/>
        <v>45470</v>
      </c>
      <c r="C503" s="49">
        <f ca="1">BitXOR(B503, $V$16)</f>
        <v>46490</v>
      </c>
      <c r="D503" s="64">
        <f t="shared" ca="1" si="57"/>
        <v>40031</v>
      </c>
      <c r="E503" s="64">
        <f t="shared" ca="1" si="58"/>
        <v>62101</v>
      </c>
      <c r="F503" s="89"/>
      <c r="G503" s="89"/>
      <c r="H503" s="47" t="str">
        <f t="shared" ca="1" si="59"/>
        <v>B19E</v>
      </c>
      <c r="I503" s="89"/>
      <c r="J503" s="47" t="str">
        <f t="shared" ca="1" si="60"/>
        <v>B59A</v>
      </c>
      <c r="K503" s="89"/>
      <c r="L503" s="89"/>
      <c r="M503" s="47" t="str">
        <f t="shared" ca="1" si="61"/>
        <v>9C5F</v>
      </c>
      <c r="N503" s="89"/>
      <c r="O503" s="47" t="str">
        <f t="shared" ca="1" si="62"/>
        <v>F295</v>
      </c>
    </row>
    <row r="504" spans="2:15">
      <c r="B504" s="48">
        <f t="shared" ca="1" si="56"/>
        <v>28773</v>
      </c>
      <c r="C504" s="49">
        <f ca="1">BitXOR(B504, $V$16)</f>
        <v>29793</v>
      </c>
      <c r="D504" s="64">
        <f t="shared" ca="1" si="57"/>
        <v>39352</v>
      </c>
      <c r="E504" s="64">
        <f t="shared" ca="1" si="58"/>
        <v>38542</v>
      </c>
      <c r="F504" s="89"/>
      <c r="G504" s="89"/>
      <c r="H504" s="47" t="str">
        <f t="shared" ca="1" si="59"/>
        <v>7065</v>
      </c>
      <c r="I504" s="89"/>
      <c r="J504" s="47" t="str">
        <f t="shared" ca="1" si="60"/>
        <v>7461</v>
      </c>
      <c r="K504" s="89"/>
      <c r="L504" s="89"/>
      <c r="M504" s="47" t="str">
        <f t="shared" ca="1" si="61"/>
        <v>99B8</v>
      </c>
      <c r="N504" s="89"/>
      <c r="O504" s="47" t="str">
        <f t="shared" ca="1" si="62"/>
        <v>968E</v>
      </c>
    </row>
    <row r="505" spans="2:15">
      <c r="B505" s="48">
        <f t="shared" ca="1" si="56"/>
        <v>12921</v>
      </c>
      <c r="C505" s="49">
        <f ca="1">BitXOR(B505, $V$16)</f>
        <v>13949</v>
      </c>
      <c r="D505" s="64">
        <f t="shared" ca="1" si="57"/>
        <v>24010</v>
      </c>
      <c r="E505" s="64">
        <f t="shared" ca="1" si="58"/>
        <v>24052</v>
      </c>
      <c r="F505" s="89"/>
      <c r="G505" s="89"/>
      <c r="H505" s="47" t="str">
        <f t="shared" ca="1" si="59"/>
        <v>3279</v>
      </c>
      <c r="I505" s="89"/>
      <c r="J505" s="47" t="str">
        <f t="shared" ca="1" si="60"/>
        <v>367D</v>
      </c>
      <c r="K505" s="89"/>
      <c r="L505" s="89"/>
      <c r="M505" s="47" t="str">
        <f t="shared" ca="1" si="61"/>
        <v>5DCA</v>
      </c>
      <c r="N505" s="89"/>
      <c r="O505" s="47" t="str">
        <f t="shared" ca="1" si="62"/>
        <v>5DF4</v>
      </c>
    </row>
    <row r="506" spans="2:15">
      <c r="B506" s="48">
        <f t="shared" ca="1" si="56"/>
        <v>49051</v>
      </c>
      <c r="C506" s="49">
        <f ca="1">BitXOR(B506, $V$16)</f>
        <v>48031</v>
      </c>
      <c r="D506" s="64">
        <f t="shared" ca="1" si="57"/>
        <v>7187</v>
      </c>
      <c r="E506" s="64">
        <f t="shared" ca="1" si="58"/>
        <v>58872</v>
      </c>
      <c r="F506" s="89"/>
      <c r="G506" s="89"/>
      <c r="H506" s="47" t="str">
        <f t="shared" ca="1" si="59"/>
        <v>BF9B</v>
      </c>
      <c r="I506" s="89"/>
      <c r="J506" s="47" t="str">
        <f t="shared" ca="1" si="60"/>
        <v>BB9F</v>
      </c>
      <c r="K506" s="89"/>
      <c r="L506" s="89"/>
      <c r="M506" s="47" t="str">
        <f t="shared" ca="1" si="61"/>
        <v>1C13</v>
      </c>
      <c r="N506" s="89"/>
      <c r="O506" s="47" t="str">
        <f t="shared" ca="1" si="62"/>
        <v>E5F8</v>
      </c>
    </row>
    <row r="507" spans="2:15">
      <c r="B507" s="48">
        <f t="shared" ca="1" si="56"/>
        <v>15684</v>
      </c>
      <c r="C507" s="49">
        <f ca="1">BitXOR(B507, $V$16)</f>
        <v>14656</v>
      </c>
      <c r="D507" s="64">
        <f t="shared" ca="1" si="57"/>
        <v>57492</v>
      </c>
      <c r="E507" s="64">
        <f t="shared" ca="1" si="58"/>
        <v>37324</v>
      </c>
      <c r="F507" s="89"/>
      <c r="G507" s="89"/>
      <c r="H507" s="47" t="str">
        <f t="shared" ca="1" si="59"/>
        <v>3D44</v>
      </c>
      <c r="I507" s="89"/>
      <c r="J507" s="47" t="str">
        <f t="shared" ca="1" si="60"/>
        <v>3940</v>
      </c>
      <c r="K507" s="89"/>
      <c r="L507" s="89"/>
      <c r="M507" s="47" t="str">
        <f t="shared" ca="1" si="61"/>
        <v>E094</v>
      </c>
      <c r="N507" s="89"/>
      <c r="O507" s="47" t="str">
        <f t="shared" ca="1" si="62"/>
        <v>91CC</v>
      </c>
    </row>
    <row r="508" spans="2:15">
      <c r="B508" s="48">
        <f t="shared" ca="1" si="56"/>
        <v>56409</v>
      </c>
      <c r="C508" s="49">
        <f ca="1">BitXOR(B508, $V$16)</f>
        <v>55389</v>
      </c>
      <c r="D508" s="64">
        <f t="shared" ca="1" si="57"/>
        <v>58328</v>
      </c>
      <c r="E508" s="64">
        <f t="shared" ca="1" si="58"/>
        <v>62383</v>
      </c>
      <c r="F508" s="89"/>
      <c r="G508" s="89"/>
      <c r="H508" s="47" t="str">
        <f t="shared" ca="1" si="59"/>
        <v>DC59</v>
      </c>
      <c r="I508" s="89"/>
      <c r="J508" s="47" t="str">
        <f t="shared" ca="1" si="60"/>
        <v>D85D</v>
      </c>
      <c r="K508" s="89"/>
      <c r="L508" s="89"/>
      <c r="M508" s="47" t="str">
        <f t="shared" ca="1" si="61"/>
        <v>E3D8</v>
      </c>
      <c r="N508" s="89"/>
      <c r="O508" s="47" t="str">
        <f t="shared" ca="1" si="62"/>
        <v>F3AF</v>
      </c>
    </row>
    <row r="509" spans="2:15">
      <c r="B509" s="48">
        <f t="shared" ca="1" si="56"/>
        <v>42934</v>
      </c>
      <c r="C509" s="49">
        <f ca="1">BitXOR(B509, $V$16)</f>
        <v>41906</v>
      </c>
      <c r="D509" s="64">
        <f t="shared" ca="1" si="57"/>
        <v>57414</v>
      </c>
      <c r="E509" s="64">
        <f t="shared" ca="1" si="58"/>
        <v>6260</v>
      </c>
      <c r="F509" s="89"/>
      <c r="G509" s="89"/>
      <c r="H509" s="47" t="str">
        <f t="shared" ca="1" si="59"/>
        <v>A7B6</v>
      </c>
      <c r="I509" s="89"/>
      <c r="J509" s="47" t="str">
        <f t="shared" ca="1" si="60"/>
        <v>A3B2</v>
      </c>
      <c r="K509" s="89"/>
      <c r="L509" s="89"/>
      <c r="M509" s="47" t="str">
        <f t="shared" ca="1" si="61"/>
        <v>E046</v>
      </c>
      <c r="N509" s="89"/>
      <c r="O509" s="47" t="str">
        <f t="shared" ca="1" si="62"/>
        <v>1874</v>
      </c>
    </row>
    <row r="510" spans="2:15">
      <c r="B510" s="48">
        <f t="shared" ca="1" si="56"/>
        <v>20850</v>
      </c>
      <c r="C510" s="49">
        <f ca="1">BitXOR(B510, $V$16)</f>
        <v>21878</v>
      </c>
      <c r="D510" s="64">
        <f t="shared" ca="1" si="57"/>
        <v>38634</v>
      </c>
      <c r="E510" s="64">
        <f t="shared" ca="1" si="58"/>
        <v>47261</v>
      </c>
      <c r="F510" s="89"/>
      <c r="G510" s="89"/>
      <c r="H510" s="47" t="str">
        <f t="shared" ca="1" si="59"/>
        <v>5172</v>
      </c>
      <c r="I510" s="89"/>
      <c r="J510" s="47" t="str">
        <f t="shared" ca="1" si="60"/>
        <v>5576</v>
      </c>
      <c r="K510" s="89"/>
      <c r="L510" s="89"/>
      <c r="M510" s="47" t="str">
        <f t="shared" ca="1" si="61"/>
        <v>96EA</v>
      </c>
      <c r="N510" s="89"/>
      <c r="O510" s="47" t="str">
        <f t="shared" ca="1" si="62"/>
        <v>B89D</v>
      </c>
    </row>
    <row r="511" spans="2:15">
      <c r="B511" s="48">
        <f t="shared" ca="1" si="56"/>
        <v>9253</v>
      </c>
      <c r="C511" s="49">
        <f ca="1">BitXOR(B511, $V$16)</f>
        <v>8225</v>
      </c>
      <c r="D511" s="64">
        <f t="shared" ca="1" si="57"/>
        <v>40639</v>
      </c>
      <c r="E511" s="64">
        <f t="shared" ca="1" si="58"/>
        <v>37074</v>
      </c>
      <c r="F511" s="89"/>
      <c r="G511" s="89"/>
      <c r="H511" s="47" t="str">
        <f t="shared" ca="1" si="59"/>
        <v>2425</v>
      </c>
      <c r="I511" s="89"/>
      <c r="J511" s="47" t="str">
        <f t="shared" ca="1" si="60"/>
        <v>2021</v>
      </c>
      <c r="K511" s="89"/>
      <c r="L511" s="89"/>
      <c r="M511" s="47" t="str">
        <f t="shared" ca="1" si="61"/>
        <v>9EBF</v>
      </c>
      <c r="N511" s="89"/>
      <c r="O511" s="47" t="str">
        <f t="shared" ca="1" si="62"/>
        <v>90D2</v>
      </c>
    </row>
    <row r="512" spans="2:15">
      <c r="B512" s="48">
        <f t="shared" ca="1" si="56"/>
        <v>4069</v>
      </c>
      <c r="C512" s="49">
        <f ca="1">BitXOR(B512, $V$16)</f>
        <v>3041</v>
      </c>
      <c r="D512" s="64">
        <f t="shared" ca="1" si="57"/>
        <v>19144</v>
      </c>
      <c r="E512" s="64">
        <f t="shared" ca="1" si="58"/>
        <v>48163</v>
      </c>
      <c r="F512" s="89"/>
      <c r="G512" s="89"/>
      <c r="H512" s="47" t="str">
        <f t="shared" ca="1" si="59"/>
        <v>0FE5</v>
      </c>
      <c r="I512" s="89"/>
      <c r="J512" s="47" t="str">
        <f t="shared" ca="1" si="60"/>
        <v>0BE1</v>
      </c>
      <c r="K512" s="89"/>
      <c r="L512" s="89"/>
      <c r="M512" s="47" t="str">
        <f t="shared" ca="1" si="61"/>
        <v>4AC8</v>
      </c>
      <c r="N512" s="89"/>
      <c r="O512" s="47" t="str">
        <f t="shared" ca="1" si="62"/>
        <v>BC23</v>
      </c>
    </row>
    <row r="513" spans="2:15">
      <c r="B513" s="48">
        <f t="shared" ca="1" si="56"/>
        <v>17831</v>
      </c>
      <c r="C513" s="49">
        <f ca="1">BitXOR(B513, $V$16)</f>
        <v>16803</v>
      </c>
      <c r="D513" s="64">
        <f t="shared" ca="1" si="57"/>
        <v>46479</v>
      </c>
      <c r="E513" s="64">
        <f t="shared" ca="1" si="58"/>
        <v>41438</v>
      </c>
      <c r="F513" s="89"/>
      <c r="G513" s="89"/>
      <c r="H513" s="47" t="str">
        <f t="shared" ca="1" si="59"/>
        <v>45A7</v>
      </c>
      <c r="I513" s="89"/>
      <c r="J513" s="47" t="str">
        <f t="shared" ca="1" si="60"/>
        <v>41A3</v>
      </c>
      <c r="K513" s="89"/>
      <c r="L513" s="89"/>
      <c r="M513" s="47" t="str">
        <f t="shared" ca="1" si="61"/>
        <v>B58F</v>
      </c>
      <c r="N513" s="89"/>
      <c r="O513" s="47" t="str">
        <f t="shared" ca="1" si="62"/>
        <v>A1DE</v>
      </c>
    </row>
    <row r="514" spans="2:15">
      <c r="B514" s="48">
        <f t="shared" ca="1" si="56"/>
        <v>21626</v>
      </c>
      <c r="C514" s="49">
        <f ca="1">BitXOR(B514, $V$16)</f>
        <v>20606</v>
      </c>
      <c r="D514" s="64">
        <f t="shared" ca="1" si="57"/>
        <v>48970</v>
      </c>
      <c r="E514" s="64">
        <f t="shared" ca="1" si="58"/>
        <v>14234</v>
      </c>
      <c r="F514" s="89"/>
      <c r="G514" s="89"/>
      <c r="H514" s="47" t="str">
        <f t="shared" ca="1" si="59"/>
        <v>547A</v>
      </c>
      <c r="I514" s="89"/>
      <c r="J514" s="47" t="str">
        <f t="shared" ca="1" si="60"/>
        <v>507E</v>
      </c>
      <c r="K514" s="89"/>
      <c r="L514" s="89"/>
      <c r="M514" s="47" t="str">
        <f t="shared" ca="1" si="61"/>
        <v>BF4A</v>
      </c>
      <c r="N514" s="89"/>
      <c r="O514" s="47" t="str">
        <f t="shared" ca="1" si="62"/>
        <v>379A</v>
      </c>
    </row>
    <row r="515" spans="2:15">
      <c r="B515" s="48">
        <f t="shared" ca="1" si="56"/>
        <v>58075</v>
      </c>
      <c r="C515" s="49">
        <f ca="1">BitXOR(B515, $V$16)</f>
        <v>59103</v>
      </c>
      <c r="D515" s="64">
        <f t="shared" ca="1" si="57"/>
        <v>22487</v>
      </c>
      <c r="E515" s="64">
        <f t="shared" ca="1" si="58"/>
        <v>8453</v>
      </c>
      <c r="F515" s="89"/>
      <c r="G515" s="89"/>
      <c r="H515" s="47" t="str">
        <f t="shared" ca="1" si="59"/>
        <v>E2DB</v>
      </c>
      <c r="I515" s="89"/>
      <c r="J515" s="47" t="str">
        <f t="shared" ca="1" si="60"/>
        <v>E6DF</v>
      </c>
      <c r="K515" s="89"/>
      <c r="L515" s="89"/>
      <c r="M515" s="47" t="str">
        <f t="shared" ca="1" si="61"/>
        <v>57D7</v>
      </c>
      <c r="N515" s="89"/>
      <c r="O515" s="47" t="str">
        <f t="shared" ca="1" si="62"/>
        <v>2105</v>
      </c>
    </row>
    <row r="516" spans="2:15">
      <c r="B516" s="48">
        <f t="shared" ca="1" si="56"/>
        <v>1697</v>
      </c>
      <c r="C516" s="49">
        <f ca="1">BitXOR(B516, $V$16)</f>
        <v>677</v>
      </c>
      <c r="D516" s="64">
        <f t="shared" ca="1" si="57"/>
        <v>34927</v>
      </c>
      <c r="E516" s="64">
        <f t="shared" ca="1" si="58"/>
        <v>34529</v>
      </c>
      <c r="F516" s="89"/>
      <c r="G516" s="89"/>
      <c r="H516" s="47" t="str">
        <f t="shared" ca="1" si="59"/>
        <v>06A1</v>
      </c>
      <c r="I516" s="89"/>
      <c r="J516" s="47" t="str">
        <f t="shared" ca="1" si="60"/>
        <v>02A5</v>
      </c>
      <c r="K516" s="89"/>
      <c r="L516" s="89"/>
      <c r="M516" s="47" t="str">
        <f t="shared" ca="1" si="61"/>
        <v>886F</v>
      </c>
      <c r="N516" s="89"/>
      <c r="O516" s="47" t="str">
        <f t="shared" ca="1" si="62"/>
        <v>86E1</v>
      </c>
    </row>
    <row r="517" spans="2:15">
      <c r="B517" s="48">
        <f t="shared" ca="1" si="56"/>
        <v>51332</v>
      </c>
      <c r="C517" s="49">
        <f ca="1">BitXOR(B517, $V$16)</f>
        <v>52352</v>
      </c>
      <c r="D517" s="64">
        <f t="shared" ca="1" si="57"/>
        <v>53638</v>
      </c>
      <c r="E517" s="64">
        <f t="shared" ca="1" si="58"/>
        <v>57828</v>
      </c>
      <c r="F517" s="89"/>
      <c r="G517" s="89"/>
      <c r="H517" s="47" t="str">
        <f t="shared" ca="1" si="59"/>
        <v>C884</v>
      </c>
      <c r="I517" s="89"/>
      <c r="J517" s="47" t="str">
        <f t="shared" ca="1" si="60"/>
        <v>CC80</v>
      </c>
      <c r="K517" s="89"/>
      <c r="L517" s="89"/>
      <c r="M517" s="47" t="str">
        <f t="shared" ca="1" si="61"/>
        <v>D186</v>
      </c>
      <c r="N517" s="89"/>
      <c r="O517" s="47" t="str">
        <f t="shared" ca="1" si="62"/>
        <v>E1E4</v>
      </c>
    </row>
    <row r="518" spans="2:15">
      <c r="B518" s="48">
        <f t="shared" ca="1" si="56"/>
        <v>4286</v>
      </c>
      <c r="C518" s="49">
        <f ca="1">BitXOR(B518, $V$16)</f>
        <v>5306</v>
      </c>
      <c r="D518" s="64">
        <f t="shared" ca="1" si="57"/>
        <v>51474</v>
      </c>
      <c r="E518" s="64">
        <f t="shared" ca="1" si="58"/>
        <v>51645</v>
      </c>
      <c r="F518" s="89"/>
      <c r="G518" s="89"/>
      <c r="H518" s="47" t="str">
        <f t="shared" ca="1" si="59"/>
        <v>10BE</v>
      </c>
      <c r="I518" s="89"/>
      <c r="J518" s="47" t="str">
        <f t="shared" ca="1" si="60"/>
        <v>14BA</v>
      </c>
      <c r="K518" s="89"/>
      <c r="L518" s="89"/>
      <c r="M518" s="47" t="str">
        <f t="shared" ca="1" si="61"/>
        <v>C912</v>
      </c>
      <c r="N518" s="89"/>
      <c r="O518" s="47" t="str">
        <f t="shared" ca="1" si="62"/>
        <v>C9BD</v>
      </c>
    </row>
    <row r="519" spans="2:15">
      <c r="B519" s="48">
        <f t="shared" ca="1" si="56"/>
        <v>51997</v>
      </c>
      <c r="C519" s="49">
        <f ca="1">BitXOR(B519, $V$16)</f>
        <v>53017</v>
      </c>
      <c r="D519" s="64">
        <f t="shared" ca="1" si="57"/>
        <v>3803</v>
      </c>
      <c r="E519" s="64">
        <f t="shared" ca="1" si="58"/>
        <v>28581</v>
      </c>
      <c r="F519" s="89"/>
      <c r="G519" s="89"/>
      <c r="H519" s="47" t="str">
        <f t="shared" ca="1" si="59"/>
        <v>CB1D</v>
      </c>
      <c r="I519" s="89"/>
      <c r="J519" s="47" t="str">
        <f t="shared" ca="1" si="60"/>
        <v>CF19</v>
      </c>
      <c r="K519" s="89"/>
      <c r="L519" s="89"/>
      <c r="M519" s="47" t="str">
        <f t="shared" ca="1" si="61"/>
        <v>0EDB</v>
      </c>
      <c r="N519" s="89"/>
      <c r="O519" s="47" t="str">
        <f t="shared" ca="1" si="62"/>
        <v>6FA5</v>
      </c>
    </row>
    <row r="520" spans="2:15">
      <c r="B520" s="48">
        <f t="shared" ca="1" si="56"/>
        <v>42918</v>
      </c>
      <c r="C520" s="49">
        <f ca="1">BitXOR(B520, $V$16)</f>
        <v>41890</v>
      </c>
      <c r="D520" s="64">
        <f t="shared" ca="1" si="57"/>
        <v>9007</v>
      </c>
      <c r="E520" s="64">
        <f t="shared" ca="1" si="58"/>
        <v>29973</v>
      </c>
      <c r="F520" s="89"/>
      <c r="G520" s="89"/>
      <c r="H520" s="47" t="str">
        <f t="shared" ca="1" si="59"/>
        <v>A7A6</v>
      </c>
      <c r="I520" s="89"/>
      <c r="J520" s="47" t="str">
        <f t="shared" ca="1" si="60"/>
        <v>A3A2</v>
      </c>
      <c r="K520" s="89"/>
      <c r="L520" s="89"/>
      <c r="M520" s="47" t="str">
        <f t="shared" ca="1" si="61"/>
        <v>232F</v>
      </c>
      <c r="N520" s="89"/>
      <c r="O520" s="47" t="str">
        <f t="shared" ca="1" si="62"/>
        <v>7515</v>
      </c>
    </row>
    <row r="521" spans="2:15">
      <c r="B521" s="48">
        <f t="shared" ca="1" si="56"/>
        <v>41743</v>
      </c>
      <c r="C521" s="49">
        <f ca="1">BitXOR(B521, $V$16)</f>
        <v>42763</v>
      </c>
      <c r="D521" s="64">
        <f t="shared" ca="1" si="57"/>
        <v>62048</v>
      </c>
      <c r="E521" s="64">
        <f t="shared" ca="1" si="58"/>
        <v>6150</v>
      </c>
      <c r="F521" s="89"/>
      <c r="G521" s="89"/>
      <c r="H521" s="47" t="str">
        <f t="shared" ca="1" si="59"/>
        <v>A30F</v>
      </c>
      <c r="I521" s="89"/>
      <c r="J521" s="47" t="str">
        <f t="shared" ca="1" si="60"/>
        <v>A70B</v>
      </c>
      <c r="K521" s="89"/>
      <c r="L521" s="89"/>
      <c r="M521" s="47" t="str">
        <f t="shared" ca="1" si="61"/>
        <v>F260</v>
      </c>
      <c r="N521" s="89"/>
      <c r="O521" s="47" t="str">
        <f t="shared" ca="1" si="62"/>
        <v>1806</v>
      </c>
    </row>
    <row r="522" spans="2:15">
      <c r="B522" s="48">
        <f t="shared" ca="1" si="56"/>
        <v>39712</v>
      </c>
      <c r="C522" s="49">
        <f ca="1">BitXOR(B522, $V$16)</f>
        <v>40740</v>
      </c>
      <c r="D522" s="64">
        <f t="shared" ca="1" si="57"/>
        <v>50655</v>
      </c>
      <c r="E522" s="64">
        <f t="shared" ca="1" si="58"/>
        <v>33348</v>
      </c>
      <c r="F522" s="89"/>
      <c r="G522" s="89"/>
      <c r="H522" s="47" t="str">
        <f t="shared" ca="1" si="59"/>
        <v>9B20</v>
      </c>
      <c r="I522" s="89"/>
      <c r="J522" s="47" t="str">
        <f t="shared" ca="1" si="60"/>
        <v>9F24</v>
      </c>
      <c r="K522" s="89"/>
      <c r="L522" s="89"/>
      <c r="M522" s="47" t="str">
        <f t="shared" ca="1" si="61"/>
        <v>C5DF</v>
      </c>
      <c r="N522" s="89"/>
      <c r="O522" s="47" t="str">
        <f t="shared" ca="1" si="62"/>
        <v>8244</v>
      </c>
    </row>
    <row r="523" spans="2:15">
      <c r="B523" s="48">
        <f t="shared" ca="1" si="56"/>
        <v>58336</v>
      </c>
      <c r="C523" s="49">
        <f ca="1">BitXOR(B523, $V$16)</f>
        <v>59364</v>
      </c>
      <c r="D523" s="64">
        <f t="shared" ca="1" si="57"/>
        <v>1365</v>
      </c>
      <c r="E523" s="64">
        <f t="shared" ca="1" si="58"/>
        <v>16717</v>
      </c>
      <c r="F523" s="89"/>
      <c r="G523" s="89"/>
      <c r="H523" s="47" t="str">
        <f t="shared" ca="1" si="59"/>
        <v>E3E0</v>
      </c>
      <c r="I523" s="89"/>
      <c r="J523" s="47" t="str">
        <f t="shared" ca="1" si="60"/>
        <v>E7E4</v>
      </c>
      <c r="K523" s="89"/>
      <c r="L523" s="89"/>
      <c r="M523" s="47" t="str">
        <f t="shared" ca="1" si="61"/>
        <v>0555</v>
      </c>
      <c r="N523" s="89"/>
      <c r="O523" s="47" t="str">
        <f t="shared" ca="1" si="62"/>
        <v>414D</v>
      </c>
    </row>
    <row r="524" spans="2:15">
      <c r="B524" s="48">
        <f t="shared" ca="1" si="56"/>
        <v>15827</v>
      </c>
      <c r="C524" s="49">
        <f ca="1">BitXOR(B524, $V$16)</f>
        <v>14807</v>
      </c>
      <c r="D524" s="64">
        <f t="shared" ca="1" si="57"/>
        <v>38685</v>
      </c>
      <c r="E524" s="64">
        <f t="shared" ca="1" si="58"/>
        <v>38834</v>
      </c>
      <c r="F524" s="89"/>
      <c r="G524" s="89"/>
      <c r="H524" s="47" t="str">
        <f t="shared" ca="1" si="59"/>
        <v>3DD3</v>
      </c>
      <c r="I524" s="89"/>
      <c r="J524" s="47" t="str">
        <f t="shared" ca="1" si="60"/>
        <v>39D7</v>
      </c>
      <c r="K524" s="89"/>
      <c r="L524" s="89"/>
      <c r="M524" s="47" t="str">
        <f t="shared" ca="1" si="61"/>
        <v>971D</v>
      </c>
      <c r="N524" s="89"/>
      <c r="O524" s="47" t="str">
        <f t="shared" ca="1" si="62"/>
        <v>97B2</v>
      </c>
    </row>
    <row r="525" spans="2:15">
      <c r="B525" s="48">
        <f t="shared" ca="1" si="56"/>
        <v>32447</v>
      </c>
      <c r="C525" s="49">
        <f ca="1">BitXOR(B525, $V$16)</f>
        <v>31419</v>
      </c>
      <c r="D525" s="64">
        <f t="shared" ca="1" si="57"/>
        <v>56058</v>
      </c>
      <c r="E525" s="64">
        <f t="shared" ca="1" si="58"/>
        <v>14863</v>
      </c>
      <c r="F525" s="89"/>
      <c r="G525" s="89"/>
      <c r="H525" s="47" t="str">
        <f t="shared" ca="1" si="59"/>
        <v>7EBF</v>
      </c>
      <c r="I525" s="89"/>
      <c r="J525" s="47" t="str">
        <f t="shared" ca="1" si="60"/>
        <v>7ABB</v>
      </c>
      <c r="K525" s="89"/>
      <c r="L525" s="89"/>
      <c r="M525" s="47" t="str">
        <f t="shared" ca="1" si="61"/>
        <v>DAFA</v>
      </c>
      <c r="N525" s="89"/>
      <c r="O525" s="47" t="str">
        <f t="shared" ca="1" si="62"/>
        <v>3A0F</v>
      </c>
    </row>
    <row r="526" spans="2:15">
      <c r="B526" s="48">
        <f t="shared" ca="1" si="56"/>
        <v>12842</v>
      </c>
      <c r="C526" s="49">
        <f ca="1">BitXOR(B526, $V$16)</f>
        <v>13870</v>
      </c>
      <c r="D526" s="64">
        <f t="shared" ca="1" si="57"/>
        <v>32822</v>
      </c>
      <c r="E526" s="64">
        <f t="shared" ca="1" si="58"/>
        <v>36435</v>
      </c>
      <c r="F526" s="89"/>
      <c r="G526" s="89"/>
      <c r="H526" s="47" t="str">
        <f t="shared" ca="1" si="59"/>
        <v>322A</v>
      </c>
      <c r="I526" s="89"/>
      <c r="J526" s="47" t="str">
        <f t="shared" ca="1" si="60"/>
        <v>362E</v>
      </c>
      <c r="K526" s="89"/>
      <c r="L526" s="89"/>
      <c r="M526" s="47" t="str">
        <f t="shared" ca="1" si="61"/>
        <v>8036</v>
      </c>
      <c r="N526" s="89"/>
      <c r="O526" s="47" t="str">
        <f t="shared" ca="1" si="62"/>
        <v>8E53</v>
      </c>
    </row>
    <row r="527" spans="2:15">
      <c r="B527" s="48">
        <f t="shared" ca="1" si="56"/>
        <v>24548</v>
      </c>
      <c r="C527" s="49">
        <f ca="1">BitXOR(B527, $V$16)</f>
        <v>23520</v>
      </c>
      <c r="D527" s="64">
        <f t="shared" ca="1" si="57"/>
        <v>9364</v>
      </c>
      <c r="E527" s="64">
        <f t="shared" ca="1" si="58"/>
        <v>42588</v>
      </c>
      <c r="F527" s="89"/>
      <c r="G527" s="89"/>
      <c r="H527" s="47" t="str">
        <f t="shared" ca="1" si="59"/>
        <v>5FE4</v>
      </c>
      <c r="I527" s="89"/>
      <c r="J527" s="47" t="str">
        <f t="shared" ca="1" si="60"/>
        <v>5BE0</v>
      </c>
      <c r="K527" s="89"/>
      <c r="L527" s="89"/>
      <c r="M527" s="47" t="str">
        <f t="shared" ca="1" si="61"/>
        <v>2494</v>
      </c>
      <c r="N527" s="89"/>
      <c r="O527" s="47" t="str">
        <f t="shared" ca="1" si="62"/>
        <v>A65C</v>
      </c>
    </row>
    <row r="528" spans="2:15">
      <c r="B528" s="48">
        <f t="shared" ca="1" si="56"/>
        <v>36956</v>
      </c>
      <c r="C528" s="49">
        <f ca="1">BitXOR(B528, $V$16)</f>
        <v>37976</v>
      </c>
      <c r="D528" s="64">
        <f t="shared" ca="1" si="57"/>
        <v>19847</v>
      </c>
      <c r="E528" s="64">
        <f t="shared" ca="1" si="58"/>
        <v>52306</v>
      </c>
      <c r="F528" s="89"/>
      <c r="G528" s="89"/>
      <c r="H528" s="47" t="str">
        <f t="shared" ca="1" si="59"/>
        <v>905C</v>
      </c>
      <c r="I528" s="89"/>
      <c r="J528" s="47" t="str">
        <f t="shared" ca="1" si="60"/>
        <v>9458</v>
      </c>
      <c r="K528" s="89"/>
      <c r="L528" s="89"/>
      <c r="M528" s="47" t="str">
        <f t="shared" ca="1" si="61"/>
        <v>4D87</v>
      </c>
      <c r="N528" s="89"/>
      <c r="O528" s="47" t="str">
        <f t="shared" ca="1" si="62"/>
        <v>CC52</v>
      </c>
    </row>
    <row r="529" spans="2:15">
      <c r="B529" s="48">
        <f t="shared" ca="1" si="56"/>
        <v>7268</v>
      </c>
      <c r="C529" s="49">
        <f ca="1">BitXOR(B529, $V$16)</f>
        <v>6240</v>
      </c>
      <c r="D529" s="64">
        <f t="shared" ca="1" si="57"/>
        <v>55792</v>
      </c>
      <c r="E529" s="64">
        <f t="shared" ca="1" si="58"/>
        <v>61668</v>
      </c>
      <c r="F529" s="89"/>
      <c r="G529" s="89"/>
      <c r="H529" s="47" t="str">
        <f t="shared" ca="1" si="59"/>
        <v>1C64</v>
      </c>
      <c r="I529" s="89"/>
      <c r="J529" s="47" t="str">
        <f t="shared" ca="1" si="60"/>
        <v>1860</v>
      </c>
      <c r="K529" s="89"/>
      <c r="L529" s="89"/>
      <c r="M529" s="47" t="str">
        <f t="shared" ca="1" si="61"/>
        <v>D9F0</v>
      </c>
      <c r="N529" s="89"/>
      <c r="O529" s="47" t="str">
        <f t="shared" ca="1" si="62"/>
        <v>F0E4</v>
      </c>
    </row>
    <row r="530" spans="2:15">
      <c r="B530" s="48">
        <f t="shared" ca="1" si="56"/>
        <v>51686</v>
      </c>
      <c r="C530" s="49">
        <f ca="1">BitXOR(B530, $V$16)</f>
        <v>52706</v>
      </c>
      <c r="D530" s="64">
        <f t="shared" ca="1" si="57"/>
        <v>44071</v>
      </c>
      <c r="E530" s="64">
        <f t="shared" ca="1" si="58"/>
        <v>56350</v>
      </c>
      <c r="F530" s="89"/>
      <c r="G530" s="89"/>
      <c r="H530" s="47" t="str">
        <f t="shared" ca="1" si="59"/>
        <v>C9E6</v>
      </c>
      <c r="I530" s="89"/>
      <c r="J530" s="47" t="str">
        <f t="shared" ca="1" si="60"/>
        <v>CDE2</v>
      </c>
      <c r="K530" s="89"/>
      <c r="L530" s="89"/>
      <c r="M530" s="47" t="str">
        <f t="shared" ca="1" si="61"/>
        <v>AC27</v>
      </c>
      <c r="N530" s="89"/>
      <c r="O530" s="47" t="str">
        <f t="shared" ca="1" si="62"/>
        <v>DC1E</v>
      </c>
    </row>
    <row r="531" spans="2:15">
      <c r="B531" s="48">
        <f t="shared" ca="1" si="56"/>
        <v>5170</v>
      </c>
      <c r="C531" s="49">
        <f ca="1">BitXOR(B531, $V$16)</f>
        <v>4150</v>
      </c>
      <c r="D531" s="64">
        <f t="shared" ca="1" si="57"/>
        <v>63427</v>
      </c>
      <c r="E531" s="64">
        <f t="shared" ca="1" si="58"/>
        <v>18993</v>
      </c>
      <c r="F531" s="89"/>
      <c r="G531" s="89"/>
      <c r="H531" s="47" t="str">
        <f t="shared" ca="1" si="59"/>
        <v>1432</v>
      </c>
      <c r="I531" s="89"/>
      <c r="J531" s="47" t="str">
        <f t="shared" ca="1" si="60"/>
        <v>1036</v>
      </c>
      <c r="K531" s="89"/>
      <c r="L531" s="89"/>
      <c r="M531" s="47" t="str">
        <f t="shared" ca="1" si="61"/>
        <v>F7C3</v>
      </c>
      <c r="N531" s="89"/>
      <c r="O531" s="47" t="str">
        <f t="shared" ca="1" si="62"/>
        <v>4A31</v>
      </c>
    </row>
    <row r="532" spans="2:15">
      <c r="B532" s="48">
        <f t="shared" ca="1" si="56"/>
        <v>50657</v>
      </c>
      <c r="C532" s="49">
        <f ca="1">BitXOR(B532, $V$16)</f>
        <v>49637</v>
      </c>
      <c r="D532" s="64">
        <f t="shared" ca="1" si="57"/>
        <v>15461</v>
      </c>
      <c r="E532" s="64">
        <f t="shared" ca="1" si="58"/>
        <v>54985</v>
      </c>
      <c r="F532" s="89"/>
      <c r="G532" s="89"/>
      <c r="H532" s="47" t="str">
        <f t="shared" ca="1" si="59"/>
        <v>C5E1</v>
      </c>
      <c r="I532" s="89"/>
      <c r="J532" s="47" t="str">
        <f t="shared" ca="1" si="60"/>
        <v>C1E5</v>
      </c>
      <c r="K532" s="89"/>
      <c r="L532" s="89"/>
      <c r="M532" s="47" t="str">
        <f t="shared" ca="1" si="61"/>
        <v>3C65</v>
      </c>
      <c r="N532" s="89"/>
      <c r="O532" s="47" t="str">
        <f t="shared" ca="1" si="62"/>
        <v>D6C9</v>
      </c>
    </row>
    <row r="533" spans="2:15">
      <c r="B533" s="48">
        <f t="shared" ca="1" si="56"/>
        <v>44837</v>
      </c>
      <c r="C533" s="49">
        <f ca="1">BitXOR(B533, $V$16)</f>
        <v>43809</v>
      </c>
      <c r="D533" s="64">
        <f t="shared" ca="1" si="57"/>
        <v>61931</v>
      </c>
      <c r="E533" s="64">
        <f t="shared" ca="1" si="58"/>
        <v>26886</v>
      </c>
      <c r="F533" s="89"/>
      <c r="G533" s="89"/>
      <c r="H533" s="47" t="str">
        <f t="shared" ca="1" si="59"/>
        <v>AF25</v>
      </c>
      <c r="I533" s="89"/>
      <c r="J533" s="47" t="str">
        <f t="shared" ca="1" si="60"/>
        <v>AB21</v>
      </c>
      <c r="K533" s="89"/>
      <c r="L533" s="89"/>
      <c r="M533" s="47" t="str">
        <f t="shared" ca="1" si="61"/>
        <v>F1EB</v>
      </c>
      <c r="N533" s="89"/>
      <c r="O533" s="47" t="str">
        <f t="shared" ca="1" si="62"/>
        <v>6906</v>
      </c>
    </row>
    <row r="534" spans="2:15">
      <c r="B534" s="48">
        <f t="shared" ca="1" si="56"/>
        <v>46256</v>
      </c>
      <c r="C534" s="49">
        <f ca="1">BitXOR(B534, $V$16)</f>
        <v>45236</v>
      </c>
      <c r="D534" s="64">
        <f t="shared" ca="1" si="57"/>
        <v>14959</v>
      </c>
      <c r="E534" s="64">
        <f t="shared" ca="1" si="58"/>
        <v>28784</v>
      </c>
      <c r="F534" s="89"/>
      <c r="G534" s="89"/>
      <c r="H534" s="47" t="str">
        <f t="shared" ca="1" si="59"/>
        <v>B4B0</v>
      </c>
      <c r="I534" s="89"/>
      <c r="J534" s="47" t="str">
        <f t="shared" ca="1" si="60"/>
        <v>B0B4</v>
      </c>
      <c r="K534" s="89"/>
      <c r="L534" s="89"/>
      <c r="M534" s="47" t="str">
        <f t="shared" ca="1" si="61"/>
        <v>3A6F</v>
      </c>
      <c r="N534" s="89"/>
      <c r="O534" s="47" t="str">
        <f t="shared" ca="1" si="62"/>
        <v>7070</v>
      </c>
    </row>
    <row r="535" spans="2:15">
      <c r="B535" s="48">
        <f t="shared" ref="B535:B598" ca="1" si="63">RANDBETWEEN(1,2^16-1)</f>
        <v>54205</v>
      </c>
      <c r="C535" s="49">
        <f ca="1">BitXOR(B535, $V$16)</f>
        <v>55225</v>
      </c>
      <c r="D535" s="64">
        <f t="shared" ca="1" si="57"/>
        <v>977</v>
      </c>
      <c r="E535" s="64">
        <f t="shared" ca="1" si="58"/>
        <v>17589</v>
      </c>
      <c r="F535" s="89"/>
      <c r="G535" s="89"/>
      <c r="H535" s="47" t="str">
        <f t="shared" ca="1" si="59"/>
        <v>D3BD</v>
      </c>
      <c r="I535" s="89"/>
      <c r="J535" s="47" t="str">
        <f t="shared" ca="1" si="60"/>
        <v>D7B9</v>
      </c>
      <c r="K535" s="89"/>
      <c r="L535" s="89"/>
      <c r="M535" s="47" t="str">
        <f t="shared" ca="1" si="61"/>
        <v>03D1</v>
      </c>
      <c r="N535" s="89"/>
      <c r="O535" s="47" t="str">
        <f t="shared" ca="1" si="62"/>
        <v>44B5</v>
      </c>
    </row>
    <row r="536" spans="2:15">
      <c r="B536" s="48">
        <f t="shared" ca="1" si="63"/>
        <v>59007</v>
      </c>
      <c r="C536" s="49">
        <f ca="1">BitXOR(B536, $V$16)</f>
        <v>57979</v>
      </c>
      <c r="D536" s="64">
        <f t="shared" ca="1" si="57"/>
        <v>44328</v>
      </c>
      <c r="E536" s="64">
        <f t="shared" ca="1" si="58"/>
        <v>44711</v>
      </c>
      <c r="F536" s="89"/>
      <c r="G536" s="89"/>
      <c r="H536" s="47" t="str">
        <f t="shared" ca="1" si="59"/>
        <v>E67F</v>
      </c>
      <c r="I536" s="89"/>
      <c r="J536" s="47" t="str">
        <f t="shared" ca="1" si="60"/>
        <v>E27B</v>
      </c>
      <c r="K536" s="89"/>
      <c r="L536" s="89"/>
      <c r="M536" s="47" t="str">
        <f t="shared" ca="1" si="61"/>
        <v>AD28</v>
      </c>
      <c r="N536" s="89"/>
      <c r="O536" s="47" t="str">
        <f t="shared" ca="1" si="62"/>
        <v>AEA7</v>
      </c>
    </row>
    <row r="537" spans="2:15">
      <c r="B537" s="48">
        <f t="shared" ca="1" si="63"/>
        <v>61535</v>
      </c>
      <c r="C537" s="49">
        <f ca="1">BitXOR(B537, $V$16)</f>
        <v>62555</v>
      </c>
      <c r="D537" s="64">
        <f t="shared" ca="1" si="57"/>
        <v>40079</v>
      </c>
      <c r="E537" s="64">
        <f t="shared" ca="1" si="58"/>
        <v>59427</v>
      </c>
      <c r="F537" s="89"/>
      <c r="G537" s="89"/>
      <c r="H537" s="47" t="str">
        <f t="shared" ca="1" si="59"/>
        <v>F05F</v>
      </c>
      <c r="I537" s="89"/>
      <c r="J537" s="47" t="str">
        <f t="shared" ca="1" si="60"/>
        <v>F45B</v>
      </c>
      <c r="K537" s="89"/>
      <c r="L537" s="89"/>
      <c r="M537" s="47" t="str">
        <f t="shared" ca="1" si="61"/>
        <v>9C8F</v>
      </c>
      <c r="N537" s="89"/>
      <c r="O537" s="47" t="str">
        <f t="shared" ca="1" si="62"/>
        <v>E823</v>
      </c>
    </row>
    <row r="538" spans="2:15">
      <c r="B538" s="48">
        <f t="shared" ca="1" si="63"/>
        <v>28338</v>
      </c>
      <c r="C538" s="49">
        <f ca="1">BitXOR(B538, $V$16)</f>
        <v>27318</v>
      </c>
      <c r="D538" s="64">
        <f t="shared" ca="1" si="57"/>
        <v>56330</v>
      </c>
      <c r="E538" s="64">
        <f t="shared" ca="1" si="58"/>
        <v>46648</v>
      </c>
      <c r="F538" s="89"/>
      <c r="G538" s="89"/>
      <c r="H538" s="47" t="str">
        <f t="shared" ca="1" si="59"/>
        <v>6EB2</v>
      </c>
      <c r="I538" s="89"/>
      <c r="J538" s="47" t="str">
        <f t="shared" ca="1" si="60"/>
        <v>6AB6</v>
      </c>
      <c r="K538" s="89"/>
      <c r="L538" s="89"/>
      <c r="M538" s="47" t="str">
        <f t="shared" ca="1" si="61"/>
        <v>DC0A</v>
      </c>
      <c r="N538" s="89"/>
      <c r="O538" s="47" t="str">
        <f t="shared" ca="1" si="62"/>
        <v>B638</v>
      </c>
    </row>
    <row r="539" spans="2:15">
      <c r="B539" s="48">
        <f t="shared" ca="1" si="63"/>
        <v>7626</v>
      </c>
      <c r="C539" s="49">
        <f ca="1">BitXOR(B539, $V$16)</f>
        <v>6606</v>
      </c>
      <c r="D539" s="64">
        <f t="shared" ca="1" si="57"/>
        <v>50955</v>
      </c>
      <c r="E539" s="64">
        <f t="shared" ca="1" si="58"/>
        <v>51101</v>
      </c>
      <c r="F539" s="89"/>
      <c r="G539" s="89"/>
      <c r="H539" s="47" t="str">
        <f t="shared" ca="1" si="59"/>
        <v>1DCA</v>
      </c>
      <c r="I539" s="89"/>
      <c r="J539" s="47" t="str">
        <f t="shared" ca="1" si="60"/>
        <v>19CE</v>
      </c>
      <c r="K539" s="89"/>
      <c r="L539" s="89"/>
      <c r="M539" s="47" t="str">
        <f t="shared" ca="1" si="61"/>
        <v>C70B</v>
      </c>
      <c r="N539" s="89"/>
      <c r="O539" s="47" t="str">
        <f t="shared" ca="1" si="62"/>
        <v>C79D</v>
      </c>
    </row>
    <row r="540" spans="2:15">
      <c r="B540" s="48">
        <f t="shared" ca="1" si="63"/>
        <v>63483</v>
      </c>
      <c r="C540" s="49">
        <f ca="1">BitXOR(B540, $V$16)</f>
        <v>62463</v>
      </c>
      <c r="D540" s="64">
        <f t="shared" ca="1" si="57"/>
        <v>40717</v>
      </c>
      <c r="E540" s="64">
        <f t="shared" ca="1" si="58"/>
        <v>39075</v>
      </c>
      <c r="F540" s="89"/>
      <c r="G540" s="89"/>
      <c r="H540" s="47" t="str">
        <f t="shared" ca="1" si="59"/>
        <v>F7FB</v>
      </c>
      <c r="I540" s="89"/>
      <c r="J540" s="47" t="str">
        <f t="shared" ca="1" si="60"/>
        <v>F3FF</v>
      </c>
      <c r="K540" s="89"/>
      <c r="L540" s="89"/>
      <c r="M540" s="47" t="str">
        <f t="shared" ca="1" si="61"/>
        <v>9F0D</v>
      </c>
      <c r="N540" s="89"/>
      <c r="O540" s="47" t="str">
        <f t="shared" ca="1" si="62"/>
        <v>98A3</v>
      </c>
    </row>
    <row r="541" spans="2:15">
      <c r="B541" s="48">
        <f t="shared" ca="1" si="63"/>
        <v>51105</v>
      </c>
      <c r="C541" s="49">
        <f ca="1">BitXOR(B541, $V$16)</f>
        <v>50085</v>
      </c>
      <c r="D541" s="64">
        <f t="shared" ca="1" si="57"/>
        <v>12914</v>
      </c>
      <c r="E541" s="64">
        <f t="shared" ca="1" si="58"/>
        <v>15485</v>
      </c>
      <c r="F541" s="89"/>
      <c r="G541" s="89"/>
      <c r="H541" s="47" t="str">
        <f t="shared" ca="1" si="59"/>
        <v>C7A1</v>
      </c>
      <c r="I541" s="89"/>
      <c r="J541" s="47" t="str">
        <f t="shared" ca="1" si="60"/>
        <v>C3A5</v>
      </c>
      <c r="K541" s="89"/>
      <c r="L541" s="89"/>
      <c r="M541" s="47" t="str">
        <f t="shared" ca="1" si="61"/>
        <v>3272</v>
      </c>
      <c r="N541" s="89"/>
      <c r="O541" s="47" t="str">
        <f t="shared" ca="1" si="62"/>
        <v>3C7D</v>
      </c>
    </row>
    <row r="542" spans="2:15">
      <c r="B542" s="48">
        <f t="shared" ca="1" si="63"/>
        <v>36928</v>
      </c>
      <c r="C542" s="49">
        <f ca="1">BitXOR(B542, $V$16)</f>
        <v>37956</v>
      </c>
      <c r="D542" s="64">
        <f t="shared" ca="1" si="57"/>
        <v>64845</v>
      </c>
      <c r="E542" s="64">
        <f t="shared" ca="1" si="58"/>
        <v>17108</v>
      </c>
      <c r="F542" s="89"/>
      <c r="G542" s="89"/>
      <c r="H542" s="47" t="str">
        <f t="shared" ca="1" si="59"/>
        <v>9040</v>
      </c>
      <c r="I542" s="89"/>
      <c r="J542" s="47" t="str">
        <f t="shared" ca="1" si="60"/>
        <v>9444</v>
      </c>
      <c r="K542" s="89"/>
      <c r="L542" s="89"/>
      <c r="M542" s="47" t="str">
        <f t="shared" ca="1" si="61"/>
        <v>FD4D</v>
      </c>
      <c r="N542" s="89"/>
      <c r="O542" s="47" t="str">
        <f t="shared" ca="1" si="62"/>
        <v>42D4</v>
      </c>
    </row>
    <row r="543" spans="2:15">
      <c r="B543" s="48">
        <f t="shared" ca="1" si="63"/>
        <v>5250</v>
      </c>
      <c r="C543" s="49">
        <f ca="1">BitXOR(B543, $V$16)</f>
        <v>4230</v>
      </c>
      <c r="D543" s="64">
        <f t="shared" ca="1" si="57"/>
        <v>6092</v>
      </c>
      <c r="E543" s="64">
        <f t="shared" ca="1" si="58"/>
        <v>24670</v>
      </c>
      <c r="F543" s="89"/>
      <c r="G543" s="89"/>
      <c r="H543" s="47" t="str">
        <f t="shared" ca="1" si="59"/>
        <v>1482</v>
      </c>
      <c r="I543" s="89"/>
      <c r="J543" s="47" t="str">
        <f t="shared" ca="1" si="60"/>
        <v>1086</v>
      </c>
      <c r="K543" s="89"/>
      <c r="L543" s="89"/>
      <c r="M543" s="47" t="str">
        <f t="shared" ca="1" si="61"/>
        <v>17CC</v>
      </c>
      <c r="N543" s="89"/>
      <c r="O543" s="47" t="str">
        <f t="shared" ca="1" si="62"/>
        <v>605E</v>
      </c>
    </row>
    <row r="544" spans="2:15">
      <c r="B544" s="48">
        <f t="shared" ca="1" si="63"/>
        <v>55878</v>
      </c>
      <c r="C544" s="49">
        <f ca="1">BitXOR(B544, $V$16)</f>
        <v>56898</v>
      </c>
      <c r="D544" s="64">
        <f t="shared" ca="1" si="57"/>
        <v>50667</v>
      </c>
      <c r="E544" s="64">
        <f t="shared" ca="1" si="58"/>
        <v>5118</v>
      </c>
      <c r="F544" s="89"/>
      <c r="G544" s="89"/>
      <c r="H544" s="47" t="str">
        <f t="shared" ca="1" si="59"/>
        <v>DA46</v>
      </c>
      <c r="I544" s="89"/>
      <c r="J544" s="47" t="str">
        <f t="shared" ca="1" si="60"/>
        <v>DE42</v>
      </c>
      <c r="K544" s="89"/>
      <c r="L544" s="89"/>
      <c r="M544" s="47" t="str">
        <f t="shared" ca="1" si="61"/>
        <v>C5EB</v>
      </c>
      <c r="N544" s="89"/>
      <c r="O544" s="47" t="str">
        <f t="shared" ca="1" si="62"/>
        <v>13FE</v>
      </c>
    </row>
    <row r="545" spans="2:15">
      <c r="B545" s="48">
        <f t="shared" ca="1" si="63"/>
        <v>19712</v>
      </c>
      <c r="C545" s="49">
        <f ca="1">BitXOR(B545, $V$16)</f>
        <v>18692</v>
      </c>
      <c r="D545" s="64">
        <f t="shared" ca="1" si="57"/>
        <v>63678</v>
      </c>
      <c r="E545" s="64">
        <f t="shared" ca="1" si="58"/>
        <v>16954</v>
      </c>
      <c r="F545" s="89"/>
      <c r="G545" s="89"/>
      <c r="H545" s="47" t="str">
        <f t="shared" ca="1" si="59"/>
        <v>4D00</v>
      </c>
      <c r="I545" s="89"/>
      <c r="J545" s="47" t="str">
        <f t="shared" ca="1" si="60"/>
        <v>4904</v>
      </c>
      <c r="K545" s="89"/>
      <c r="L545" s="89"/>
      <c r="M545" s="47" t="str">
        <f t="shared" ca="1" si="61"/>
        <v>F8BE</v>
      </c>
      <c r="N545" s="89"/>
      <c r="O545" s="47" t="str">
        <f t="shared" ca="1" si="62"/>
        <v>423A</v>
      </c>
    </row>
    <row r="546" spans="2:15">
      <c r="B546" s="48">
        <f t="shared" ca="1" si="63"/>
        <v>26495</v>
      </c>
      <c r="C546" s="49">
        <f ca="1">BitXOR(B546, $V$16)</f>
        <v>25467</v>
      </c>
      <c r="D546" s="64">
        <f t="shared" ca="1" si="57"/>
        <v>55311</v>
      </c>
      <c r="E546" s="64">
        <f t="shared" ca="1" si="58"/>
        <v>22385</v>
      </c>
      <c r="F546" s="89"/>
      <c r="G546" s="89"/>
      <c r="H546" s="47" t="str">
        <f t="shared" ca="1" si="59"/>
        <v>677F</v>
      </c>
      <c r="I546" s="89"/>
      <c r="J546" s="47" t="str">
        <f t="shared" ca="1" si="60"/>
        <v>637B</v>
      </c>
      <c r="K546" s="89"/>
      <c r="L546" s="89"/>
      <c r="M546" s="47" t="str">
        <f t="shared" ca="1" si="61"/>
        <v>D80F</v>
      </c>
      <c r="N546" s="89"/>
      <c r="O546" s="47" t="str">
        <f t="shared" ca="1" si="62"/>
        <v>5771</v>
      </c>
    </row>
    <row r="547" spans="2:15">
      <c r="B547" s="48">
        <f t="shared" ca="1" si="63"/>
        <v>8046</v>
      </c>
      <c r="C547" s="49">
        <f ca="1">BitXOR(B547, $V$16)</f>
        <v>7018</v>
      </c>
      <c r="D547" s="64">
        <f t="shared" ca="1" si="57"/>
        <v>41212</v>
      </c>
      <c r="E547" s="64">
        <f t="shared" ca="1" si="58"/>
        <v>49024</v>
      </c>
      <c r="F547" s="89"/>
      <c r="G547" s="89"/>
      <c r="H547" s="47" t="str">
        <f t="shared" ca="1" si="59"/>
        <v>1F6E</v>
      </c>
      <c r="I547" s="89"/>
      <c r="J547" s="47" t="str">
        <f t="shared" ca="1" si="60"/>
        <v>1B6A</v>
      </c>
      <c r="K547" s="89"/>
      <c r="L547" s="89"/>
      <c r="M547" s="47" t="str">
        <f t="shared" ca="1" si="61"/>
        <v>A0FC</v>
      </c>
      <c r="N547" s="89"/>
      <c r="O547" s="47" t="str">
        <f t="shared" ca="1" si="62"/>
        <v>BF80</v>
      </c>
    </row>
    <row r="548" spans="2:15">
      <c r="B548" s="48">
        <f t="shared" ca="1" si="63"/>
        <v>11525</v>
      </c>
      <c r="C548" s="49">
        <f ca="1">BitXOR(B548, $V$16)</f>
        <v>10497</v>
      </c>
      <c r="D548" s="64">
        <f t="shared" ca="1" si="57"/>
        <v>57092</v>
      </c>
      <c r="E548" s="64">
        <f t="shared" ca="1" si="58"/>
        <v>55500</v>
      </c>
      <c r="F548" s="89"/>
      <c r="G548" s="89"/>
      <c r="H548" s="47" t="str">
        <f t="shared" ca="1" si="59"/>
        <v>2D05</v>
      </c>
      <c r="I548" s="89"/>
      <c r="J548" s="47" t="str">
        <f t="shared" ca="1" si="60"/>
        <v>2901</v>
      </c>
      <c r="K548" s="89"/>
      <c r="L548" s="89"/>
      <c r="M548" s="47" t="str">
        <f t="shared" ca="1" si="61"/>
        <v>DF04</v>
      </c>
      <c r="N548" s="89"/>
      <c r="O548" s="47" t="str">
        <f t="shared" ca="1" si="62"/>
        <v>D8CC</v>
      </c>
    </row>
    <row r="549" spans="2:15">
      <c r="B549" s="48">
        <f t="shared" ca="1" si="63"/>
        <v>36674</v>
      </c>
      <c r="C549" s="49">
        <f ca="1">BitXOR(B549, $V$16)</f>
        <v>35654</v>
      </c>
      <c r="D549" s="64">
        <f t="shared" ref="D549:D612" ca="1" si="64">Encrypt(B549, $D$2:$S$3, $D$6:$S$7, $V$10,$V$11,$V$12,$W$10,$W$11)</f>
        <v>6814</v>
      </c>
      <c r="E549" s="64">
        <f t="shared" ref="E549:E612" ca="1" si="65">Encrypt(C549, $D$2:$S$3, $D$6:$S$7, $V$10,$V$11,$V$12,$W$10,$W$11)</f>
        <v>28923</v>
      </c>
      <c r="F549" s="89"/>
      <c r="G549" s="89"/>
      <c r="H549" s="47" t="str">
        <f t="shared" ref="H549:H612" ca="1" si="66">DEC2HEX(B549,4)</f>
        <v>8F42</v>
      </c>
      <c r="I549" s="89"/>
      <c r="J549" s="47" t="str">
        <f t="shared" ref="J549:J612" ca="1" si="67">DEC2HEX(C549,4)</f>
        <v>8B46</v>
      </c>
      <c r="K549" s="89"/>
      <c r="L549" s="89"/>
      <c r="M549" s="47" t="str">
        <f t="shared" ref="M549:M612" ca="1" si="68">DEC2HEX(D549,4)</f>
        <v>1A9E</v>
      </c>
      <c r="N549" s="89"/>
      <c r="O549" s="47" t="str">
        <f t="shared" ref="O549:O612" ca="1" si="69">DEC2HEX(E549,4)</f>
        <v>70FB</v>
      </c>
    </row>
    <row r="550" spans="2:15">
      <c r="B550" s="48">
        <f t="shared" ca="1" si="63"/>
        <v>44549</v>
      </c>
      <c r="C550" s="49">
        <f ca="1">BitXOR(B550, $V$16)</f>
        <v>43521</v>
      </c>
      <c r="D550" s="64">
        <f t="shared" ca="1" si="64"/>
        <v>20622</v>
      </c>
      <c r="E550" s="64">
        <f t="shared" ca="1" si="65"/>
        <v>13688</v>
      </c>
      <c r="F550" s="89"/>
      <c r="G550" s="89"/>
      <c r="H550" s="47" t="str">
        <f t="shared" ca="1" si="66"/>
        <v>AE05</v>
      </c>
      <c r="I550" s="89"/>
      <c r="J550" s="47" t="str">
        <f t="shared" ca="1" si="67"/>
        <v>AA01</v>
      </c>
      <c r="K550" s="89"/>
      <c r="L550" s="89"/>
      <c r="M550" s="47" t="str">
        <f t="shared" ca="1" si="68"/>
        <v>508E</v>
      </c>
      <c r="N550" s="89"/>
      <c r="O550" s="47" t="str">
        <f t="shared" ca="1" si="69"/>
        <v>3578</v>
      </c>
    </row>
    <row r="551" spans="2:15">
      <c r="B551" s="48">
        <f t="shared" ca="1" si="63"/>
        <v>24101</v>
      </c>
      <c r="C551" s="49">
        <f ca="1">BitXOR(B551, $V$16)</f>
        <v>23073</v>
      </c>
      <c r="D551" s="64">
        <f t="shared" ca="1" si="64"/>
        <v>26724</v>
      </c>
      <c r="E551" s="64">
        <f t="shared" ca="1" si="65"/>
        <v>48148</v>
      </c>
      <c r="F551" s="89"/>
      <c r="G551" s="89"/>
      <c r="H551" s="47" t="str">
        <f t="shared" ca="1" si="66"/>
        <v>5E25</v>
      </c>
      <c r="I551" s="89"/>
      <c r="J551" s="47" t="str">
        <f t="shared" ca="1" si="67"/>
        <v>5A21</v>
      </c>
      <c r="K551" s="89"/>
      <c r="L551" s="89"/>
      <c r="M551" s="47" t="str">
        <f t="shared" ca="1" si="68"/>
        <v>6864</v>
      </c>
      <c r="N551" s="89"/>
      <c r="O551" s="47" t="str">
        <f t="shared" ca="1" si="69"/>
        <v>BC14</v>
      </c>
    </row>
    <row r="552" spans="2:15">
      <c r="B552" s="48">
        <f t="shared" ca="1" si="63"/>
        <v>47905</v>
      </c>
      <c r="C552" s="49">
        <f ca="1">BitXOR(B552, $V$16)</f>
        <v>48933</v>
      </c>
      <c r="D552" s="64">
        <f t="shared" ca="1" si="64"/>
        <v>58470</v>
      </c>
      <c r="E552" s="64">
        <f t="shared" ca="1" si="65"/>
        <v>60231</v>
      </c>
      <c r="F552" s="89"/>
      <c r="G552" s="89"/>
      <c r="H552" s="47" t="str">
        <f t="shared" ca="1" si="66"/>
        <v>BB21</v>
      </c>
      <c r="I552" s="89"/>
      <c r="J552" s="47" t="str">
        <f t="shared" ca="1" si="67"/>
        <v>BF25</v>
      </c>
      <c r="K552" s="89"/>
      <c r="L552" s="89"/>
      <c r="M552" s="47" t="str">
        <f t="shared" ca="1" si="68"/>
        <v>E466</v>
      </c>
      <c r="N552" s="89"/>
      <c r="O552" s="47" t="str">
        <f t="shared" ca="1" si="69"/>
        <v>EB47</v>
      </c>
    </row>
    <row r="553" spans="2:15">
      <c r="B553" s="48">
        <f t="shared" ca="1" si="63"/>
        <v>24798</v>
      </c>
      <c r="C553" s="49">
        <f ca="1">BitXOR(B553, $V$16)</f>
        <v>25818</v>
      </c>
      <c r="D553" s="64">
        <f t="shared" ca="1" si="64"/>
        <v>55882</v>
      </c>
      <c r="E553" s="64">
        <f t="shared" ca="1" si="65"/>
        <v>5721</v>
      </c>
      <c r="F553" s="89"/>
      <c r="G553" s="89"/>
      <c r="H553" s="47" t="str">
        <f t="shared" ca="1" si="66"/>
        <v>60DE</v>
      </c>
      <c r="I553" s="89"/>
      <c r="J553" s="47" t="str">
        <f t="shared" ca="1" si="67"/>
        <v>64DA</v>
      </c>
      <c r="K553" s="89"/>
      <c r="L553" s="89"/>
      <c r="M553" s="47" t="str">
        <f t="shared" ca="1" si="68"/>
        <v>DA4A</v>
      </c>
      <c r="N553" s="89"/>
      <c r="O553" s="47" t="str">
        <f t="shared" ca="1" si="69"/>
        <v>1659</v>
      </c>
    </row>
    <row r="554" spans="2:15">
      <c r="B554" s="48">
        <f t="shared" ca="1" si="63"/>
        <v>56548</v>
      </c>
      <c r="C554" s="49">
        <f ca="1">BitXOR(B554, $V$16)</f>
        <v>55520</v>
      </c>
      <c r="D554" s="64">
        <f t="shared" ca="1" si="64"/>
        <v>51915</v>
      </c>
      <c r="E554" s="64">
        <f t="shared" ca="1" si="65"/>
        <v>63863</v>
      </c>
      <c r="F554" s="89"/>
      <c r="G554" s="89"/>
      <c r="H554" s="47" t="str">
        <f t="shared" ca="1" si="66"/>
        <v>DCE4</v>
      </c>
      <c r="I554" s="89"/>
      <c r="J554" s="47" t="str">
        <f t="shared" ca="1" si="67"/>
        <v>D8E0</v>
      </c>
      <c r="K554" s="89"/>
      <c r="L554" s="89"/>
      <c r="M554" s="47" t="str">
        <f t="shared" ca="1" si="68"/>
        <v>CACB</v>
      </c>
      <c r="N554" s="89"/>
      <c r="O554" s="47" t="str">
        <f t="shared" ca="1" si="69"/>
        <v>F977</v>
      </c>
    </row>
    <row r="555" spans="2:15">
      <c r="B555" s="48">
        <f t="shared" ca="1" si="63"/>
        <v>45531</v>
      </c>
      <c r="C555" s="49">
        <f ca="1">BitXOR(B555, $V$16)</f>
        <v>46559</v>
      </c>
      <c r="D555" s="64">
        <f t="shared" ca="1" si="64"/>
        <v>18839</v>
      </c>
      <c r="E555" s="64">
        <f t="shared" ca="1" si="65"/>
        <v>62897</v>
      </c>
      <c r="F555" s="89"/>
      <c r="G555" s="89"/>
      <c r="H555" s="47" t="str">
        <f t="shared" ca="1" si="66"/>
        <v>B1DB</v>
      </c>
      <c r="I555" s="89"/>
      <c r="J555" s="47" t="str">
        <f t="shared" ca="1" si="67"/>
        <v>B5DF</v>
      </c>
      <c r="K555" s="89"/>
      <c r="L555" s="89"/>
      <c r="M555" s="47" t="str">
        <f t="shared" ca="1" si="68"/>
        <v>4997</v>
      </c>
      <c r="N555" s="89"/>
      <c r="O555" s="47" t="str">
        <f t="shared" ca="1" si="69"/>
        <v>F5B1</v>
      </c>
    </row>
    <row r="556" spans="2:15">
      <c r="B556" s="48">
        <f t="shared" ca="1" si="63"/>
        <v>24789</v>
      </c>
      <c r="C556" s="49">
        <f ca="1">BitXOR(B556, $V$16)</f>
        <v>25809</v>
      </c>
      <c r="D556" s="64">
        <f t="shared" ca="1" si="64"/>
        <v>22122</v>
      </c>
      <c r="E556" s="64">
        <f t="shared" ca="1" si="65"/>
        <v>39835</v>
      </c>
      <c r="F556" s="89"/>
      <c r="G556" s="89"/>
      <c r="H556" s="47" t="str">
        <f t="shared" ca="1" si="66"/>
        <v>60D5</v>
      </c>
      <c r="I556" s="89"/>
      <c r="J556" s="47" t="str">
        <f t="shared" ca="1" si="67"/>
        <v>64D1</v>
      </c>
      <c r="K556" s="89"/>
      <c r="L556" s="89"/>
      <c r="M556" s="47" t="str">
        <f t="shared" ca="1" si="68"/>
        <v>566A</v>
      </c>
      <c r="N556" s="89"/>
      <c r="O556" s="47" t="str">
        <f t="shared" ca="1" si="69"/>
        <v>9B9B</v>
      </c>
    </row>
    <row r="557" spans="2:15">
      <c r="B557" s="48">
        <f t="shared" ca="1" si="63"/>
        <v>17893</v>
      </c>
      <c r="C557" s="49">
        <f ca="1">BitXOR(B557, $V$16)</f>
        <v>16865</v>
      </c>
      <c r="D557" s="64">
        <f t="shared" ca="1" si="64"/>
        <v>35067</v>
      </c>
      <c r="E557" s="64">
        <f t="shared" ca="1" si="65"/>
        <v>43296</v>
      </c>
      <c r="F557" s="89"/>
      <c r="G557" s="89"/>
      <c r="H557" s="47" t="str">
        <f t="shared" ca="1" si="66"/>
        <v>45E5</v>
      </c>
      <c r="I557" s="89"/>
      <c r="J557" s="47" t="str">
        <f t="shared" ca="1" si="67"/>
        <v>41E1</v>
      </c>
      <c r="K557" s="89"/>
      <c r="L557" s="89"/>
      <c r="M557" s="47" t="str">
        <f t="shared" ca="1" si="68"/>
        <v>88FB</v>
      </c>
      <c r="N557" s="89"/>
      <c r="O557" s="47" t="str">
        <f t="shared" ca="1" si="69"/>
        <v>A920</v>
      </c>
    </row>
    <row r="558" spans="2:15">
      <c r="B558" s="48">
        <f t="shared" ca="1" si="63"/>
        <v>19303</v>
      </c>
      <c r="C558" s="49">
        <f ca="1">BitXOR(B558, $V$16)</f>
        <v>20323</v>
      </c>
      <c r="D558" s="64">
        <f t="shared" ca="1" si="64"/>
        <v>35918</v>
      </c>
      <c r="E558" s="64">
        <f t="shared" ca="1" si="65"/>
        <v>8227</v>
      </c>
      <c r="F558" s="89"/>
      <c r="G558" s="89"/>
      <c r="H558" s="47" t="str">
        <f t="shared" ca="1" si="66"/>
        <v>4B67</v>
      </c>
      <c r="I558" s="89"/>
      <c r="J558" s="47" t="str">
        <f t="shared" ca="1" si="67"/>
        <v>4F63</v>
      </c>
      <c r="K558" s="89"/>
      <c r="L558" s="89"/>
      <c r="M558" s="47" t="str">
        <f t="shared" ca="1" si="68"/>
        <v>8C4E</v>
      </c>
      <c r="N558" s="89"/>
      <c r="O558" s="47" t="str">
        <f t="shared" ca="1" si="69"/>
        <v>2023</v>
      </c>
    </row>
    <row r="559" spans="2:15">
      <c r="B559" s="48">
        <f t="shared" ca="1" si="63"/>
        <v>24791</v>
      </c>
      <c r="C559" s="49">
        <f ca="1">BitXOR(B559, $V$16)</f>
        <v>25811</v>
      </c>
      <c r="D559" s="64">
        <f t="shared" ca="1" si="64"/>
        <v>37898</v>
      </c>
      <c r="E559" s="64">
        <f t="shared" ca="1" si="65"/>
        <v>60507</v>
      </c>
      <c r="F559" s="89"/>
      <c r="G559" s="89"/>
      <c r="H559" s="47" t="str">
        <f t="shared" ca="1" si="66"/>
        <v>60D7</v>
      </c>
      <c r="I559" s="89"/>
      <c r="J559" s="47" t="str">
        <f t="shared" ca="1" si="67"/>
        <v>64D3</v>
      </c>
      <c r="K559" s="89"/>
      <c r="L559" s="89"/>
      <c r="M559" s="47" t="str">
        <f t="shared" ca="1" si="68"/>
        <v>940A</v>
      </c>
      <c r="N559" s="89"/>
      <c r="O559" s="47" t="str">
        <f t="shared" ca="1" si="69"/>
        <v>EC5B</v>
      </c>
    </row>
    <row r="560" spans="2:15">
      <c r="B560" s="48">
        <f t="shared" ca="1" si="63"/>
        <v>59475</v>
      </c>
      <c r="C560" s="49">
        <f ca="1">BitXOR(B560, $V$16)</f>
        <v>60503</v>
      </c>
      <c r="D560" s="64">
        <f t="shared" ca="1" si="64"/>
        <v>47588</v>
      </c>
      <c r="E560" s="64">
        <f t="shared" ca="1" si="65"/>
        <v>57108</v>
      </c>
      <c r="F560" s="89"/>
      <c r="G560" s="89"/>
      <c r="H560" s="47" t="str">
        <f t="shared" ca="1" si="66"/>
        <v>E853</v>
      </c>
      <c r="I560" s="89"/>
      <c r="J560" s="47" t="str">
        <f t="shared" ca="1" si="67"/>
        <v>EC57</v>
      </c>
      <c r="K560" s="89"/>
      <c r="L560" s="89"/>
      <c r="M560" s="47" t="str">
        <f t="shared" ca="1" si="68"/>
        <v>B9E4</v>
      </c>
      <c r="N560" s="89"/>
      <c r="O560" s="47" t="str">
        <f t="shared" ca="1" si="69"/>
        <v>DF14</v>
      </c>
    </row>
    <row r="561" spans="2:15">
      <c r="B561" s="48">
        <f t="shared" ca="1" si="63"/>
        <v>49361</v>
      </c>
      <c r="C561" s="49">
        <f ca="1">BitXOR(B561, $V$16)</f>
        <v>50389</v>
      </c>
      <c r="D561" s="64">
        <f t="shared" ca="1" si="64"/>
        <v>38429</v>
      </c>
      <c r="E561" s="64">
        <f t="shared" ca="1" si="65"/>
        <v>39663</v>
      </c>
      <c r="F561" s="89"/>
      <c r="G561" s="89"/>
      <c r="H561" s="47" t="str">
        <f t="shared" ca="1" si="66"/>
        <v>C0D1</v>
      </c>
      <c r="I561" s="89"/>
      <c r="J561" s="47" t="str">
        <f t="shared" ca="1" si="67"/>
        <v>C4D5</v>
      </c>
      <c r="K561" s="89"/>
      <c r="L561" s="89"/>
      <c r="M561" s="47" t="str">
        <f t="shared" ca="1" si="68"/>
        <v>961D</v>
      </c>
      <c r="N561" s="89"/>
      <c r="O561" s="47" t="str">
        <f t="shared" ca="1" si="69"/>
        <v>9AEF</v>
      </c>
    </row>
    <row r="562" spans="2:15">
      <c r="B562" s="48">
        <f t="shared" ca="1" si="63"/>
        <v>63959</v>
      </c>
      <c r="C562" s="49">
        <f ca="1">BitXOR(B562, $V$16)</f>
        <v>64979</v>
      </c>
      <c r="D562" s="64">
        <f t="shared" ca="1" si="64"/>
        <v>54578</v>
      </c>
      <c r="E562" s="64">
        <f t="shared" ca="1" si="65"/>
        <v>56002</v>
      </c>
      <c r="F562" s="89"/>
      <c r="G562" s="89"/>
      <c r="H562" s="47" t="str">
        <f t="shared" ca="1" si="66"/>
        <v>F9D7</v>
      </c>
      <c r="I562" s="89"/>
      <c r="J562" s="47" t="str">
        <f t="shared" ca="1" si="67"/>
        <v>FDD3</v>
      </c>
      <c r="K562" s="89"/>
      <c r="L562" s="89"/>
      <c r="M562" s="47" t="str">
        <f t="shared" ca="1" si="68"/>
        <v>D532</v>
      </c>
      <c r="N562" s="89"/>
      <c r="O562" s="47" t="str">
        <f t="shared" ca="1" si="69"/>
        <v>DAC2</v>
      </c>
    </row>
    <row r="563" spans="2:15">
      <c r="B563" s="48">
        <f t="shared" ca="1" si="63"/>
        <v>45008</v>
      </c>
      <c r="C563" s="49">
        <f ca="1">BitXOR(B563, $V$16)</f>
        <v>43988</v>
      </c>
      <c r="D563" s="64">
        <f t="shared" ca="1" si="64"/>
        <v>25039</v>
      </c>
      <c r="E563" s="64">
        <f t="shared" ca="1" si="65"/>
        <v>36765</v>
      </c>
      <c r="F563" s="89"/>
      <c r="G563" s="89"/>
      <c r="H563" s="47" t="str">
        <f t="shared" ca="1" si="66"/>
        <v>AFD0</v>
      </c>
      <c r="I563" s="89"/>
      <c r="J563" s="47" t="str">
        <f t="shared" ca="1" si="67"/>
        <v>ABD4</v>
      </c>
      <c r="K563" s="89"/>
      <c r="L563" s="89"/>
      <c r="M563" s="47" t="str">
        <f t="shared" ca="1" si="68"/>
        <v>61CF</v>
      </c>
      <c r="N563" s="89"/>
      <c r="O563" s="47" t="str">
        <f t="shared" ca="1" si="69"/>
        <v>8F9D</v>
      </c>
    </row>
    <row r="564" spans="2:15">
      <c r="B564" s="48">
        <f t="shared" ca="1" si="63"/>
        <v>49784</v>
      </c>
      <c r="C564" s="49">
        <f ca="1">BitXOR(B564, $V$16)</f>
        <v>50812</v>
      </c>
      <c r="D564" s="64">
        <f t="shared" ca="1" si="64"/>
        <v>55543</v>
      </c>
      <c r="E564" s="64">
        <f t="shared" ca="1" si="65"/>
        <v>56471</v>
      </c>
      <c r="F564" s="89"/>
      <c r="G564" s="89"/>
      <c r="H564" s="47" t="str">
        <f t="shared" ca="1" si="66"/>
        <v>C278</v>
      </c>
      <c r="I564" s="89"/>
      <c r="J564" s="47" t="str">
        <f t="shared" ca="1" si="67"/>
        <v>C67C</v>
      </c>
      <c r="K564" s="89"/>
      <c r="L564" s="89"/>
      <c r="M564" s="47" t="str">
        <f t="shared" ca="1" si="68"/>
        <v>D8F7</v>
      </c>
      <c r="N564" s="89"/>
      <c r="O564" s="47" t="str">
        <f t="shared" ca="1" si="69"/>
        <v>DC97</v>
      </c>
    </row>
    <row r="565" spans="2:15">
      <c r="B565" s="48">
        <f t="shared" ca="1" si="63"/>
        <v>20788</v>
      </c>
      <c r="C565" s="49">
        <f ca="1">BitXOR(B565, $V$16)</f>
        <v>21808</v>
      </c>
      <c r="D565" s="64">
        <f t="shared" ca="1" si="64"/>
        <v>43920</v>
      </c>
      <c r="E565" s="64">
        <f t="shared" ca="1" si="65"/>
        <v>21644</v>
      </c>
      <c r="F565" s="89"/>
      <c r="G565" s="89"/>
      <c r="H565" s="47" t="str">
        <f t="shared" ca="1" si="66"/>
        <v>5134</v>
      </c>
      <c r="I565" s="89"/>
      <c r="J565" s="47" t="str">
        <f t="shared" ca="1" si="67"/>
        <v>5530</v>
      </c>
      <c r="K565" s="89"/>
      <c r="L565" s="89"/>
      <c r="M565" s="47" t="str">
        <f t="shared" ca="1" si="68"/>
        <v>AB90</v>
      </c>
      <c r="N565" s="89"/>
      <c r="O565" s="47" t="str">
        <f t="shared" ca="1" si="69"/>
        <v>548C</v>
      </c>
    </row>
    <row r="566" spans="2:15">
      <c r="B566" s="48">
        <f t="shared" ca="1" si="63"/>
        <v>50417</v>
      </c>
      <c r="C566" s="49">
        <f ca="1">BitXOR(B566, $V$16)</f>
        <v>49397</v>
      </c>
      <c r="D566" s="64">
        <f t="shared" ca="1" si="64"/>
        <v>54865</v>
      </c>
      <c r="E566" s="64">
        <f t="shared" ca="1" si="65"/>
        <v>53401</v>
      </c>
      <c r="F566" s="89"/>
      <c r="G566" s="89"/>
      <c r="H566" s="47" t="str">
        <f t="shared" ca="1" si="66"/>
        <v>C4F1</v>
      </c>
      <c r="I566" s="89"/>
      <c r="J566" s="47" t="str">
        <f t="shared" ca="1" si="67"/>
        <v>C0F5</v>
      </c>
      <c r="K566" s="89"/>
      <c r="L566" s="89"/>
      <c r="M566" s="47" t="str">
        <f t="shared" ca="1" si="68"/>
        <v>D651</v>
      </c>
      <c r="N566" s="89"/>
      <c r="O566" s="47" t="str">
        <f t="shared" ca="1" si="69"/>
        <v>D099</v>
      </c>
    </row>
    <row r="567" spans="2:15">
      <c r="B567" s="48">
        <f t="shared" ca="1" si="63"/>
        <v>33990</v>
      </c>
      <c r="C567" s="49">
        <f ca="1">BitXOR(B567, $V$16)</f>
        <v>32962</v>
      </c>
      <c r="D567" s="64">
        <f t="shared" ca="1" si="64"/>
        <v>1753</v>
      </c>
      <c r="E567" s="64">
        <f t="shared" ca="1" si="65"/>
        <v>59966</v>
      </c>
      <c r="F567" s="89"/>
      <c r="G567" s="89"/>
      <c r="H567" s="47" t="str">
        <f t="shared" ca="1" si="66"/>
        <v>84C6</v>
      </c>
      <c r="I567" s="89"/>
      <c r="J567" s="47" t="str">
        <f t="shared" ca="1" si="67"/>
        <v>80C2</v>
      </c>
      <c r="K567" s="89"/>
      <c r="L567" s="89"/>
      <c r="M567" s="47" t="str">
        <f t="shared" ca="1" si="68"/>
        <v>06D9</v>
      </c>
      <c r="N567" s="89"/>
      <c r="O567" s="47" t="str">
        <f t="shared" ca="1" si="69"/>
        <v>EA3E</v>
      </c>
    </row>
    <row r="568" spans="2:15">
      <c r="B568" s="48">
        <f t="shared" ca="1" si="63"/>
        <v>34617</v>
      </c>
      <c r="C568" s="49">
        <f ca="1">BitXOR(B568, $V$16)</f>
        <v>33597</v>
      </c>
      <c r="D568" s="64">
        <f t="shared" ca="1" si="64"/>
        <v>46209</v>
      </c>
      <c r="E568" s="64">
        <f t="shared" ca="1" si="65"/>
        <v>55265</v>
      </c>
      <c r="F568" s="89"/>
      <c r="G568" s="89"/>
      <c r="H568" s="47" t="str">
        <f t="shared" ca="1" si="66"/>
        <v>8739</v>
      </c>
      <c r="I568" s="89"/>
      <c r="J568" s="47" t="str">
        <f t="shared" ca="1" si="67"/>
        <v>833D</v>
      </c>
      <c r="K568" s="89"/>
      <c r="L568" s="89"/>
      <c r="M568" s="47" t="str">
        <f t="shared" ca="1" si="68"/>
        <v>B481</v>
      </c>
      <c r="N568" s="89"/>
      <c r="O568" s="47" t="str">
        <f t="shared" ca="1" si="69"/>
        <v>D7E1</v>
      </c>
    </row>
    <row r="569" spans="2:15">
      <c r="B569" s="48">
        <f t="shared" ca="1" si="63"/>
        <v>18881</v>
      </c>
      <c r="C569" s="49">
        <f ca="1">BitXOR(B569, $V$16)</f>
        <v>19909</v>
      </c>
      <c r="D569" s="64">
        <f t="shared" ca="1" si="64"/>
        <v>3097</v>
      </c>
      <c r="E569" s="64">
        <f t="shared" ca="1" si="65"/>
        <v>62150</v>
      </c>
      <c r="F569" s="89"/>
      <c r="G569" s="89"/>
      <c r="H569" s="47" t="str">
        <f t="shared" ca="1" si="66"/>
        <v>49C1</v>
      </c>
      <c r="I569" s="89"/>
      <c r="J569" s="47" t="str">
        <f t="shared" ca="1" si="67"/>
        <v>4DC5</v>
      </c>
      <c r="K569" s="89"/>
      <c r="L569" s="89"/>
      <c r="M569" s="47" t="str">
        <f t="shared" ca="1" si="68"/>
        <v>0C19</v>
      </c>
      <c r="N569" s="89"/>
      <c r="O569" s="47" t="str">
        <f t="shared" ca="1" si="69"/>
        <v>F2C6</v>
      </c>
    </row>
    <row r="570" spans="2:15">
      <c r="B570" s="48">
        <f t="shared" ca="1" si="63"/>
        <v>11947</v>
      </c>
      <c r="C570" s="49">
        <f ca="1">BitXOR(B570, $V$16)</f>
        <v>10927</v>
      </c>
      <c r="D570" s="64">
        <f t="shared" ca="1" si="64"/>
        <v>53831</v>
      </c>
      <c r="E570" s="64">
        <f t="shared" ca="1" si="65"/>
        <v>14930</v>
      </c>
      <c r="F570" s="89"/>
      <c r="G570" s="89"/>
      <c r="H570" s="47" t="str">
        <f t="shared" ca="1" si="66"/>
        <v>2EAB</v>
      </c>
      <c r="I570" s="89"/>
      <c r="J570" s="47" t="str">
        <f t="shared" ca="1" si="67"/>
        <v>2AAF</v>
      </c>
      <c r="K570" s="89"/>
      <c r="L570" s="89"/>
      <c r="M570" s="47" t="str">
        <f t="shared" ca="1" si="68"/>
        <v>D247</v>
      </c>
      <c r="N570" s="89"/>
      <c r="O570" s="47" t="str">
        <f t="shared" ca="1" si="69"/>
        <v>3A52</v>
      </c>
    </row>
    <row r="571" spans="2:15">
      <c r="B571" s="48">
        <f t="shared" ca="1" si="63"/>
        <v>1923</v>
      </c>
      <c r="C571" s="49">
        <f ca="1">BitXOR(B571, $V$16)</f>
        <v>903</v>
      </c>
      <c r="D571" s="64">
        <f t="shared" ca="1" si="64"/>
        <v>18605</v>
      </c>
      <c r="E571" s="64">
        <f t="shared" ca="1" si="65"/>
        <v>26624</v>
      </c>
      <c r="F571" s="89"/>
      <c r="G571" s="89"/>
      <c r="H571" s="47" t="str">
        <f t="shared" ca="1" si="66"/>
        <v>0783</v>
      </c>
      <c r="I571" s="89"/>
      <c r="J571" s="47" t="str">
        <f t="shared" ca="1" si="67"/>
        <v>0387</v>
      </c>
      <c r="K571" s="89"/>
      <c r="L571" s="89"/>
      <c r="M571" s="47" t="str">
        <f t="shared" ca="1" si="68"/>
        <v>48AD</v>
      </c>
      <c r="N571" s="89"/>
      <c r="O571" s="47" t="str">
        <f t="shared" ca="1" si="69"/>
        <v>6800</v>
      </c>
    </row>
    <row r="572" spans="2:15">
      <c r="B572" s="48">
        <f t="shared" ca="1" si="63"/>
        <v>3681</v>
      </c>
      <c r="C572" s="49">
        <f ca="1">BitXOR(B572, $V$16)</f>
        <v>2661</v>
      </c>
      <c r="D572" s="64">
        <f t="shared" ca="1" si="64"/>
        <v>12656</v>
      </c>
      <c r="E572" s="64">
        <f t="shared" ca="1" si="65"/>
        <v>53749</v>
      </c>
      <c r="F572" s="89"/>
      <c r="G572" s="89"/>
      <c r="H572" s="47" t="str">
        <f t="shared" ca="1" si="66"/>
        <v>0E61</v>
      </c>
      <c r="I572" s="89"/>
      <c r="J572" s="47" t="str">
        <f t="shared" ca="1" si="67"/>
        <v>0A65</v>
      </c>
      <c r="K572" s="89"/>
      <c r="L572" s="89"/>
      <c r="M572" s="47" t="str">
        <f t="shared" ca="1" si="68"/>
        <v>3170</v>
      </c>
      <c r="N572" s="89"/>
      <c r="O572" s="47" t="str">
        <f t="shared" ca="1" si="69"/>
        <v>D1F5</v>
      </c>
    </row>
    <row r="573" spans="2:15">
      <c r="B573" s="48">
        <f t="shared" ca="1" si="63"/>
        <v>50807</v>
      </c>
      <c r="C573" s="49">
        <f ca="1">BitXOR(B573, $V$16)</f>
        <v>49779</v>
      </c>
      <c r="D573" s="64">
        <f t="shared" ca="1" si="64"/>
        <v>30403</v>
      </c>
      <c r="E573" s="64">
        <f t="shared" ca="1" si="65"/>
        <v>37973</v>
      </c>
      <c r="F573" s="89"/>
      <c r="G573" s="89"/>
      <c r="H573" s="47" t="str">
        <f t="shared" ca="1" si="66"/>
        <v>C677</v>
      </c>
      <c r="I573" s="89"/>
      <c r="J573" s="47" t="str">
        <f t="shared" ca="1" si="67"/>
        <v>C273</v>
      </c>
      <c r="K573" s="89"/>
      <c r="L573" s="89"/>
      <c r="M573" s="47" t="str">
        <f t="shared" ca="1" si="68"/>
        <v>76C3</v>
      </c>
      <c r="N573" s="89"/>
      <c r="O573" s="47" t="str">
        <f t="shared" ca="1" si="69"/>
        <v>9455</v>
      </c>
    </row>
    <row r="574" spans="2:15">
      <c r="B574" s="48">
        <f t="shared" ca="1" si="63"/>
        <v>33357</v>
      </c>
      <c r="C574" s="49">
        <f ca="1">BitXOR(B574, $V$16)</f>
        <v>34377</v>
      </c>
      <c r="D574" s="64">
        <f t="shared" ca="1" si="64"/>
        <v>30181</v>
      </c>
      <c r="E574" s="64">
        <f t="shared" ca="1" si="65"/>
        <v>30267</v>
      </c>
      <c r="F574" s="89"/>
      <c r="G574" s="89"/>
      <c r="H574" s="47" t="str">
        <f t="shared" ca="1" si="66"/>
        <v>824D</v>
      </c>
      <c r="I574" s="89"/>
      <c r="J574" s="47" t="str">
        <f t="shared" ca="1" si="67"/>
        <v>8649</v>
      </c>
      <c r="K574" s="89"/>
      <c r="L574" s="89"/>
      <c r="M574" s="47" t="str">
        <f t="shared" ca="1" si="68"/>
        <v>75E5</v>
      </c>
      <c r="N574" s="89"/>
      <c r="O574" s="47" t="str">
        <f t="shared" ca="1" si="69"/>
        <v>763B</v>
      </c>
    </row>
    <row r="575" spans="2:15">
      <c r="B575" s="48">
        <f t="shared" ca="1" si="63"/>
        <v>61125</v>
      </c>
      <c r="C575" s="49">
        <f ca="1">BitXOR(B575, $V$16)</f>
        <v>60097</v>
      </c>
      <c r="D575" s="64">
        <f t="shared" ca="1" si="64"/>
        <v>52194</v>
      </c>
      <c r="E575" s="64">
        <f t="shared" ca="1" si="65"/>
        <v>2645</v>
      </c>
      <c r="F575" s="89"/>
      <c r="G575" s="89"/>
      <c r="H575" s="47" t="str">
        <f t="shared" ca="1" si="66"/>
        <v>EEC5</v>
      </c>
      <c r="I575" s="89"/>
      <c r="J575" s="47" t="str">
        <f t="shared" ca="1" si="67"/>
        <v>EAC1</v>
      </c>
      <c r="K575" s="89"/>
      <c r="L575" s="89"/>
      <c r="M575" s="47" t="str">
        <f t="shared" ca="1" si="68"/>
        <v>CBE2</v>
      </c>
      <c r="N575" s="89"/>
      <c r="O575" s="47" t="str">
        <f t="shared" ca="1" si="69"/>
        <v>0A55</v>
      </c>
    </row>
    <row r="576" spans="2:15">
      <c r="B576" s="48">
        <f t="shared" ca="1" si="63"/>
        <v>12589</v>
      </c>
      <c r="C576" s="49">
        <f ca="1">BitXOR(B576, $V$16)</f>
        <v>13609</v>
      </c>
      <c r="D576" s="64">
        <f t="shared" ca="1" si="64"/>
        <v>34495</v>
      </c>
      <c r="E576" s="64">
        <f t="shared" ca="1" si="65"/>
        <v>44754</v>
      </c>
      <c r="F576" s="89"/>
      <c r="G576" s="89"/>
      <c r="H576" s="47" t="str">
        <f t="shared" ca="1" si="66"/>
        <v>312D</v>
      </c>
      <c r="I576" s="89"/>
      <c r="J576" s="47" t="str">
        <f t="shared" ca="1" si="67"/>
        <v>3529</v>
      </c>
      <c r="K576" s="89"/>
      <c r="L576" s="89"/>
      <c r="M576" s="47" t="str">
        <f t="shared" ca="1" si="68"/>
        <v>86BF</v>
      </c>
      <c r="N576" s="89"/>
      <c r="O576" s="47" t="str">
        <f t="shared" ca="1" si="69"/>
        <v>AED2</v>
      </c>
    </row>
    <row r="577" spans="2:15">
      <c r="B577" s="48">
        <f t="shared" ca="1" si="63"/>
        <v>2890</v>
      </c>
      <c r="C577" s="49">
        <f ca="1">BitXOR(B577, $V$16)</f>
        <v>3918</v>
      </c>
      <c r="D577" s="64">
        <f t="shared" ca="1" si="64"/>
        <v>27440</v>
      </c>
      <c r="E577" s="64">
        <f t="shared" ca="1" si="65"/>
        <v>25076</v>
      </c>
      <c r="F577" s="89"/>
      <c r="G577" s="89"/>
      <c r="H577" s="47" t="str">
        <f t="shared" ca="1" si="66"/>
        <v>0B4A</v>
      </c>
      <c r="I577" s="89"/>
      <c r="J577" s="47" t="str">
        <f t="shared" ca="1" si="67"/>
        <v>0F4E</v>
      </c>
      <c r="K577" s="89"/>
      <c r="L577" s="89"/>
      <c r="M577" s="47" t="str">
        <f t="shared" ca="1" si="68"/>
        <v>6B30</v>
      </c>
      <c r="N577" s="89"/>
      <c r="O577" s="47" t="str">
        <f t="shared" ca="1" si="69"/>
        <v>61F4</v>
      </c>
    </row>
    <row r="578" spans="2:15">
      <c r="B578" s="48">
        <f t="shared" ca="1" si="63"/>
        <v>44825</v>
      </c>
      <c r="C578" s="49">
        <f ca="1">BitXOR(B578, $V$16)</f>
        <v>43805</v>
      </c>
      <c r="D578" s="64">
        <f t="shared" ca="1" si="64"/>
        <v>28453</v>
      </c>
      <c r="E578" s="64">
        <f t="shared" ca="1" si="65"/>
        <v>2523</v>
      </c>
      <c r="F578" s="89"/>
      <c r="G578" s="89"/>
      <c r="H578" s="47" t="str">
        <f t="shared" ca="1" si="66"/>
        <v>AF19</v>
      </c>
      <c r="I578" s="89"/>
      <c r="J578" s="47" t="str">
        <f t="shared" ca="1" si="67"/>
        <v>AB1D</v>
      </c>
      <c r="K578" s="89"/>
      <c r="L578" s="89"/>
      <c r="M578" s="47" t="str">
        <f t="shared" ca="1" si="68"/>
        <v>6F25</v>
      </c>
      <c r="N578" s="89"/>
      <c r="O578" s="47" t="str">
        <f t="shared" ca="1" si="69"/>
        <v>09DB</v>
      </c>
    </row>
    <row r="579" spans="2:15">
      <c r="B579" s="48">
        <f t="shared" ca="1" si="63"/>
        <v>35102</v>
      </c>
      <c r="C579" s="49">
        <f ca="1">BitXOR(B579, $V$16)</f>
        <v>36122</v>
      </c>
      <c r="D579" s="64">
        <f t="shared" ca="1" si="64"/>
        <v>54094</v>
      </c>
      <c r="E579" s="64">
        <f t="shared" ca="1" si="65"/>
        <v>5728</v>
      </c>
      <c r="F579" s="89"/>
      <c r="G579" s="89"/>
      <c r="H579" s="47" t="str">
        <f t="shared" ca="1" si="66"/>
        <v>891E</v>
      </c>
      <c r="I579" s="89"/>
      <c r="J579" s="47" t="str">
        <f t="shared" ca="1" si="67"/>
        <v>8D1A</v>
      </c>
      <c r="K579" s="89"/>
      <c r="L579" s="89"/>
      <c r="M579" s="47" t="str">
        <f t="shared" ca="1" si="68"/>
        <v>D34E</v>
      </c>
      <c r="N579" s="89"/>
      <c r="O579" s="47" t="str">
        <f t="shared" ca="1" si="69"/>
        <v>1660</v>
      </c>
    </row>
    <row r="580" spans="2:15">
      <c r="B580" s="48">
        <f t="shared" ca="1" si="63"/>
        <v>12128</v>
      </c>
      <c r="C580" s="49">
        <f ca="1">BitXOR(B580, $V$16)</f>
        <v>11108</v>
      </c>
      <c r="D580" s="64">
        <f t="shared" ca="1" si="64"/>
        <v>59652</v>
      </c>
      <c r="E580" s="64">
        <f t="shared" ca="1" si="65"/>
        <v>8710</v>
      </c>
      <c r="F580" s="89"/>
      <c r="G580" s="89"/>
      <c r="H580" s="47" t="str">
        <f t="shared" ca="1" si="66"/>
        <v>2F60</v>
      </c>
      <c r="I580" s="89"/>
      <c r="J580" s="47" t="str">
        <f t="shared" ca="1" si="67"/>
        <v>2B64</v>
      </c>
      <c r="K580" s="89"/>
      <c r="L580" s="89"/>
      <c r="M580" s="47" t="str">
        <f t="shared" ca="1" si="68"/>
        <v>E904</v>
      </c>
      <c r="N580" s="89"/>
      <c r="O580" s="47" t="str">
        <f t="shared" ca="1" si="69"/>
        <v>2206</v>
      </c>
    </row>
    <row r="581" spans="2:15">
      <c r="B581" s="48">
        <f t="shared" ca="1" si="63"/>
        <v>33566</v>
      </c>
      <c r="C581" s="49">
        <f ca="1">BitXOR(B581, $V$16)</f>
        <v>34586</v>
      </c>
      <c r="D581" s="64">
        <f t="shared" ca="1" si="64"/>
        <v>5691</v>
      </c>
      <c r="E581" s="64">
        <f t="shared" ca="1" si="65"/>
        <v>5798</v>
      </c>
      <c r="F581" s="89"/>
      <c r="G581" s="89"/>
      <c r="H581" s="47" t="str">
        <f t="shared" ca="1" si="66"/>
        <v>831E</v>
      </c>
      <c r="I581" s="89"/>
      <c r="J581" s="47" t="str">
        <f t="shared" ca="1" si="67"/>
        <v>871A</v>
      </c>
      <c r="K581" s="89"/>
      <c r="L581" s="89"/>
      <c r="M581" s="47" t="str">
        <f t="shared" ca="1" si="68"/>
        <v>163B</v>
      </c>
      <c r="N581" s="89"/>
      <c r="O581" s="47" t="str">
        <f t="shared" ca="1" si="69"/>
        <v>16A6</v>
      </c>
    </row>
    <row r="582" spans="2:15">
      <c r="B582" s="48">
        <f t="shared" ca="1" si="63"/>
        <v>47030</v>
      </c>
      <c r="C582" s="49">
        <f ca="1">BitXOR(B582, $V$16)</f>
        <v>46002</v>
      </c>
      <c r="D582" s="64">
        <f t="shared" ca="1" si="64"/>
        <v>60735</v>
      </c>
      <c r="E582" s="64">
        <f t="shared" ca="1" si="65"/>
        <v>38136</v>
      </c>
      <c r="F582" s="89"/>
      <c r="G582" s="89"/>
      <c r="H582" s="47" t="str">
        <f t="shared" ca="1" si="66"/>
        <v>B7B6</v>
      </c>
      <c r="I582" s="89"/>
      <c r="J582" s="47" t="str">
        <f t="shared" ca="1" si="67"/>
        <v>B3B2</v>
      </c>
      <c r="K582" s="89"/>
      <c r="L582" s="89"/>
      <c r="M582" s="47" t="str">
        <f t="shared" ca="1" si="68"/>
        <v>ED3F</v>
      </c>
      <c r="N582" s="89"/>
      <c r="O582" s="47" t="str">
        <f t="shared" ca="1" si="69"/>
        <v>94F8</v>
      </c>
    </row>
    <row r="583" spans="2:15">
      <c r="B583" s="48">
        <f t="shared" ca="1" si="63"/>
        <v>37892</v>
      </c>
      <c r="C583" s="49">
        <f ca="1">BitXOR(B583, $V$16)</f>
        <v>36864</v>
      </c>
      <c r="D583" s="64">
        <f t="shared" ca="1" si="64"/>
        <v>34217</v>
      </c>
      <c r="E583" s="64">
        <f t="shared" ca="1" si="65"/>
        <v>64846</v>
      </c>
      <c r="F583" s="89"/>
      <c r="G583" s="89"/>
      <c r="H583" s="47" t="str">
        <f t="shared" ca="1" si="66"/>
        <v>9404</v>
      </c>
      <c r="I583" s="89"/>
      <c r="J583" s="47" t="str">
        <f t="shared" ca="1" si="67"/>
        <v>9000</v>
      </c>
      <c r="K583" s="89"/>
      <c r="L583" s="89"/>
      <c r="M583" s="47" t="str">
        <f t="shared" ca="1" si="68"/>
        <v>85A9</v>
      </c>
      <c r="N583" s="89"/>
      <c r="O583" s="47" t="str">
        <f t="shared" ca="1" si="69"/>
        <v>FD4E</v>
      </c>
    </row>
    <row r="584" spans="2:15">
      <c r="B584" s="48">
        <f t="shared" ca="1" si="63"/>
        <v>2939</v>
      </c>
      <c r="C584" s="49">
        <f ca="1">BitXOR(B584, $V$16)</f>
        <v>3967</v>
      </c>
      <c r="D584" s="64">
        <f t="shared" ca="1" si="64"/>
        <v>42707</v>
      </c>
      <c r="E584" s="64">
        <f t="shared" ca="1" si="65"/>
        <v>18729</v>
      </c>
      <c r="F584" s="89"/>
      <c r="G584" s="89"/>
      <c r="H584" s="47" t="str">
        <f t="shared" ca="1" si="66"/>
        <v>0B7B</v>
      </c>
      <c r="I584" s="89"/>
      <c r="J584" s="47" t="str">
        <f t="shared" ca="1" si="67"/>
        <v>0F7F</v>
      </c>
      <c r="K584" s="89"/>
      <c r="L584" s="89"/>
      <c r="M584" s="47" t="str">
        <f t="shared" ca="1" si="68"/>
        <v>A6D3</v>
      </c>
      <c r="N584" s="89"/>
      <c r="O584" s="47" t="str">
        <f t="shared" ca="1" si="69"/>
        <v>4929</v>
      </c>
    </row>
    <row r="585" spans="2:15">
      <c r="B585" s="48">
        <f t="shared" ca="1" si="63"/>
        <v>32180</v>
      </c>
      <c r="C585" s="49">
        <f ca="1">BitXOR(B585, $V$16)</f>
        <v>31152</v>
      </c>
      <c r="D585" s="64">
        <f t="shared" ca="1" si="64"/>
        <v>47924</v>
      </c>
      <c r="E585" s="64">
        <f t="shared" ca="1" si="65"/>
        <v>12590</v>
      </c>
      <c r="F585" s="89"/>
      <c r="G585" s="89"/>
      <c r="H585" s="47" t="str">
        <f t="shared" ca="1" si="66"/>
        <v>7DB4</v>
      </c>
      <c r="I585" s="89"/>
      <c r="J585" s="47" t="str">
        <f t="shared" ca="1" si="67"/>
        <v>79B0</v>
      </c>
      <c r="K585" s="89"/>
      <c r="L585" s="89"/>
      <c r="M585" s="47" t="str">
        <f t="shared" ca="1" si="68"/>
        <v>BB34</v>
      </c>
      <c r="N585" s="89"/>
      <c r="O585" s="47" t="str">
        <f t="shared" ca="1" si="69"/>
        <v>312E</v>
      </c>
    </row>
    <row r="586" spans="2:15">
      <c r="B586" s="48">
        <f t="shared" ca="1" si="63"/>
        <v>44002</v>
      </c>
      <c r="C586" s="49">
        <f ca="1">BitXOR(B586, $V$16)</f>
        <v>45030</v>
      </c>
      <c r="D586" s="64">
        <f t="shared" ca="1" si="64"/>
        <v>12478</v>
      </c>
      <c r="E586" s="64">
        <f t="shared" ca="1" si="65"/>
        <v>56791</v>
      </c>
      <c r="F586" s="89"/>
      <c r="G586" s="89"/>
      <c r="H586" s="47" t="str">
        <f t="shared" ca="1" si="66"/>
        <v>ABE2</v>
      </c>
      <c r="I586" s="89"/>
      <c r="J586" s="47" t="str">
        <f t="shared" ca="1" si="67"/>
        <v>AFE6</v>
      </c>
      <c r="K586" s="89"/>
      <c r="L586" s="89"/>
      <c r="M586" s="47" t="str">
        <f t="shared" ca="1" si="68"/>
        <v>30BE</v>
      </c>
      <c r="N586" s="89"/>
      <c r="O586" s="47" t="str">
        <f t="shared" ca="1" si="69"/>
        <v>DDD7</v>
      </c>
    </row>
    <row r="587" spans="2:15">
      <c r="B587" s="48">
        <f t="shared" ca="1" si="63"/>
        <v>3049</v>
      </c>
      <c r="C587" s="49">
        <f ca="1">BitXOR(B587, $V$16)</f>
        <v>4077</v>
      </c>
      <c r="D587" s="64">
        <f t="shared" ca="1" si="64"/>
        <v>23602</v>
      </c>
      <c r="E587" s="64">
        <f t="shared" ca="1" si="65"/>
        <v>57798</v>
      </c>
      <c r="F587" s="89"/>
      <c r="G587" s="89"/>
      <c r="H587" s="47" t="str">
        <f t="shared" ca="1" si="66"/>
        <v>0BE9</v>
      </c>
      <c r="I587" s="89"/>
      <c r="J587" s="47" t="str">
        <f t="shared" ca="1" si="67"/>
        <v>0FED</v>
      </c>
      <c r="K587" s="89"/>
      <c r="L587" s="89"/>
      <c r="M587" s="47" t="str">
        <f t="shared" ca="1" si="68"/>
        <v>5C32</v>
      </c>
      <c r="N587" s="89"/>
      <c r="O587" s="47" t="str">
        <f t="shared" ca="1" si="69"/>
        <v>E1C6</v>
      </c>
    </row>
    <row r="588" spans="2:15">
      <c r="B588" s="48">
        <f t="shared" ca="1" si="63"/>
        <v>35598</v>
      </c>
      <c r="C588" s="49">
        <f ca="1">BitXOR(B588, $V$16)</f>
        <v>36618</v>
      </c>
      <c r="D588" s="64">
        <f t="shared" ca="1" si="64"/>
        <v>56715</v>
      </c>
      <c r="E588" s="64">
        <f t="shared" ca="1" si="65"/>
        <v>13552</v>
      </c>
      <c r="F588" s="89"/>
      <c r="G588" s="89"/>
      <c r="H588" s="47" t="str">
        <f t="shared" ca="1" si="66"/>
        <v>8B0E</v>
      </c>
      <c r="I588" s="89"/>
      <c r="J588" s="47" t="str">
        <f t="shared" ca="1" si="67"/>
        <v>8F0A</v>
      </c>
      <c r="K588" s="89"/>
      <c r="L588" s="89"/>
      <c r="M588" s="47" t="str">
        <f t="shared" ca="1" si="68"/>
        <v>DD8B</v>
      </c>
      <c r="N588" s="89"/>
      <c r="O588" s="47" t="str">
        <f t="shared" ca="1" si="69"/>
        <v>34F0</v>
      </c>
    </row>
    <row r="589" spans="2:15">
      <c r="B589" s="48">
        <f t="shared" ca="1" si="63"/>
        <v>11804</v>
      </c>
      <c r="C589" s="49">
        <f ca="1">BitXOR(B589, $V$16)</f>
        <v>10776</v>
      </c>
      <c r="D589" s="64">
        <f t="shared" ca="1" si="64"/>
        <v>2256</v>
      </c>
      <c r="E589" s="64">
        <f t="shared" ca="1" si="65"/>
        <v>64789</v>
      </c>
      <c r="F589" s="89"/>
      <c r="G589" s="89"/>
      <c r="H589" s="47" t="str">
        <f t="shared" ca="1" si="66"/>
        <v>2E1C</v>
      </c>
      <c r="I589" s="89"/>
      <c r="J589" s="47" t="str">
        <f t="shared" ca="1" si="67"/>
        <v>2A18</v>
      </c>
      <c r="K589" s="89"/>
      <c r="L589" s="89"/>
      <c r="M589" s="47" t="str">
        <f t="shared" ca="1" si="68"/>
        <v>08D0</v>
      </c>
      <c r="N589" s="89"/>
      <c r="O589" s="47" t="str">
        <f t="shared" ca="1" si="69"/>
        <v>FD15</v>
      </c>
    </row>
    <row r="590" spans="2:15">
      <c r="B590" s="48">
        <f t="shared" ca="1" si="63"/>
        <v>53766</v>
      </c>
      <c r="C590" s="49">
        <f ca="1">BitXOR(B590, $V$16)</f>
        <v>54786</v>
      </c>
      <c r="D590" s="64">
        <f t="shared" ca="1" si="64"/>
        <v>15925</v>
      </c>
      <c r="E590" s="64">
        <f t="shared" ca="1" si="65"/>
        <v>43022</v>
      </c>
      <c r="F590" s="89"/>
      <c r="G590" s="89"/>
      <c r="H590" s="47" t="str">
        <f t="shared" ca="1" si="66"/>
        <v>D206</v>
      </c>
      <c r="I590" s="89"/>
      <c r="J590" s="47" t="str">
        <f t="shared" ca="1" si="67"/>
        <v>D602</v>
      </c>
      <c r="K590" s="89"/>
      <c r="L590" s="89"/>
      <c r="M590" s="47" t="str">
        <f t="shared" ca="1" si="68"/>
        <v>3E35</v>
      </c>
      <c r="N590" s="89"/>
      <c r="O590" s="47" t="str">
        <f t="shared" ca="1" si="69"/>
        <v>A80E</v>
      </c>
    </row>
    <row r="591" spans="2:15">
      <c r="B591" s="48">
        <f t="shared" ca="1" si="63"/>
        <v>59439</v>
      </c>
      <c r="C591" s="49">
        <f ca="1">BitXOR(B591, $V$16)</f>
        <v>60459</v>
      </c>
      <c r="D591" s="64">
        <f t="shared" ca="1" si="64"/>
        <v>2651</v>
      </c>
      <c r="E591" s="64">
        <f t="shared" ca="1" si="65"/>
        <v>423</v>
      </c>
      <c r="F591" s="89"/>
      <c r="G591" s="89"/>
      <c r="H591" s="47" t="str">
        <f t="shared" ca="1" si="66"/>
        <v>E82F</v>
      </c>
      <c r="I591" s="89"/>
      <c r="J591" s="47" t="str">
        <f t="shared" ca="1" si="67"/>
        <v>EC2B</v>
      </c>
      <c r="K591" s="89"/>
      <c r="L591" s="89"/>
      <c r="M591" s="47" t="str">
        <f t="shared" ca="1" si="68"/>
        <v>0A5B</v>
      </c>
      <c r="N591" s="89"/>
      <c r="O591" s="47" t="str">
        <f t="shared" ca="1" si="69"/>
        <v>01A7</v>
      </c>
    </row>
    <row r="592" spans="2:15">
      <c r="B592" s="48">
        <f t="shared" ca="1" si="63"/>
        <v>10622</v>
      </c>
      <c r="C592" s="49">
        <f ca="1">BitXOR(B592, $V$16)</f>
        <v>11642</v>
      </c>
      <c r="D592" s="64">
        <f t="shared" ca="1" si="64"/>
        <v>46963</v>
      </c>
      <c r="E592" s="64">
        <f t="shared" ca="1" si="65"/>
        <v>24005</v>
      </c>
      <c r="F592" s="89"/>
      <c r="G592" s="89"/>
      <c r="H592" s="47" t="str">
        <f t="shared" ca="1" si="66"/>
        <v>297E</v>
      </c>
      <c r="I592" s="89"/>
      <c r="J592" s="47" t="str">
        <f t="shared" ca="1" si="67"/>
        <v>2D7A</v>
      </c>
      <c r="K592" s="89"/>
      <c r="L592" s="89"/>
      <c r="M592" s="47" t="str">
        <f t="shared" ca="1" si="68"/>
        <v>B773</v>
      </c>
      <c r="N592" s="89"/>
      <c r="O592" s="47" t="str">
        <f t="shared" ca="1" si="69"/>
        <v>5DC5</v>
      </c>
    </row>
    <row r="593" spans="2:15">
      <c r="B593" s="48">
        <f t="shared" ca="1" si="63"/>
        <v>24402</v>
      </c>
      <c r="C593" s="49">
        <f ca="1">BitXOR(B593, $V$16)</f>
        <v>23382</v>
      </c>
      <c r="D593" s="64">
        <f t="shared" ca="1" si="64"/>
        <v>59106</v>
      </c>
      <c r="E593" s="64">
        <f t="shared" ca="1" si="65"/>
        <v>35619</v>
      </c>
      <c r="F593" s="89"/>
      <c r="G593" s="89"/>
      <c r="H593" s="47" t="str">
        <f t="shared" ca="1" si="66"/>
        <v>5F52</v>
      </c>
      <c r="I593" s="89"/>
      <c r="J593" s="47" t="str">
        <f t="shared" ca="1" si="67"/>
        <v>5B56</v>
      </c>
      <c r="K593" s="89"/>
      <c r="L593" s="89"/>
      <c r="M593" s="47" t="str">
        <f t="shared" ca="1" si="68"/>
        <v>E6E2</v>
      </c>
      <c r="N593" s="89"/>
      <c r="O593" s="47" t="str">
        <f t="shared" ca="1" si="69"/>
        <v>8B23</v>
      </c>
    </row>
    <row r="594" spans="2:15">
      <c r="B594" s="48">
        <f t="shared" ca="1" si="63"/>
        <v>58701</v>
      </c>
      <c r="C594" s="49">
        <f ca="1">BitXOR(B594, $V$16)</f>
        <v>57673</v>
      </c>
      <c r="D594" s="64">
        <f t="shared" ca="1" si="64"/>
        <v>11413</v>
      </c>
      <c r="E594" s="64">
        <f t="shared" ca="1" si="65"/>
        <v>22816</v>
      </c>
      <c r="F594" s="89"/>
      <c r="G594" s="89"/>
      <c r="H594" s="47" t="str">
        <f t="shared" ca="1" si="66"/>
        <v>E54D</v>
      </c>
      <c r="I594" s="89"/>
      <c r="J594" s="47" t="str">
        <f t="shared" ca="1" si="67"/>
        <v>E149</v>
      </c>
      <c r="K594" s="89"/>
      <c r="L594" s="89"/>
      <c r="M594" s="47" t="str">
        <f t="shared" ca="1" si="68"/>
        <v>2C95</v>
      </c>
      <c r="N594" s="89"/>
      <c r="O594" s="47" t="str">
        <f t="shared" ca="1" si="69"/>
        <v>5920</v>
      </c>
    </row>
    <row r="595" spans="2:15">
      <c r="B595" s="48">
        <f t="shared" ca="1" si="63"/>
        <v>20054</v>
      </c>
      <c r="C595" s="49">
        <f ca="1">BitXOR(B595, $V$16)</f>
        <v>19026</v>
      </c>
      <c r="D595" s="64">
        <f t="shared" ca="1" si="64"/>
        <v>17610</v>
      </c>
      <c r="E595" s="64">
        <f t="shared" ca="1" si="65"/>
        <v>27838</v>
      </c>
      <c r="F595" s="89"/>
      <c r="G595" s="89"/>
      <c r="H595" s="47" t="str">
        <f t="shared" ca="1" si="66"/>
        <v>4E56</v>
      </c>
      <c r="I595" s="89"/>
      <c r="J595" s="47" t="str">
        <f t="shared" ca="1" si="67"/>
        <v>4A52</v>
      </c>
      <c r="K595" s="89"/>
      <c r="L595" s="89"/>
      <c r="M595" s="47" t="str">
        <f t="shared" ca="1" si="68"/>
        <v>44CA</v>
      </c>
      <c r="N595" s="89"/>
      <c r="O595" s="47" t="str">
        <f t="shared" ca="1" si="69"/>
        <v>6CBE</v>
      </c>
    </row>
    <row r="596" spans="2:15">
      <c r="B596" s="48">
        <f t="shared" ca="1" si="63"/>
        <v>29612</v>
      </c>
      <c r="C596" s="49">
        <f ca="1">BitXOR(B596, $V$16)</f>
        <v>30632</v>
      </c>
      <c r="D596" s="64">
        <f t="shared" ca="1" si="64"/>
        <v>35981</v>
      </c>
      <c r="E596" s="64">
        <f t="shared" ca="1" si="65"/>
        <v>16241</v>
      </c>
      <c r="F596" s="89"/>
      <c r="G596" s="89"/>
      <c r="H596" s="47" t="str">
        <f t="shared" ca="1" si="66"/>
        <v>73AC</v>
      </c>
      <c r="I596" s="89"/>
      <c r="J596" s="47" t="str">
        <f t="shared" ca="1" si="67"/>
        <v>77A8</v>
      </c>
      <c r="K596" s="89"/>
      <c r="L596" s="89"/>
      <c r="M596" s="47" t="str">
        <f t="shared" ca="1" si="68"/>
        <v>8C8D</v>
      </c>
      <c r="N596" s="89"/>
      <c r="O596" s="47" t="str">
        <f t="shared" ca="1" si="69"/>
        <v>3F71</v>
      </c>
    </row>
    <row r="597" spans="2:15">
      <c r="B597" s="48">
        <f t="shared" ca="1" si="63"/>
        <v>46379</v>
      </c>
      <c r="C597" s="49">
        <f ca="1">BitXOR(B597, $V$16)</f>
        <v>45359</v>
      </c>
      <c r="D597" s="64">
        <f t="shared" ca="1" si="64"/>
        <v>59935</v>
      </c>
      <c r="E597" s="64">
        <f t="shared" ca="1" si="65"/>
        <v>58805</v>
      </c>
      <c r="F597" s="89"/>
      <c r="G597" s="89"/>
      <c r="H597" s="47" t="str">
        <f t="shared" ca="1" si="66"/>
        <v>B52B</v>
      </c>
      <c r="I597" s="89"/>
      <c r="J597" s="47" t="str">
        <f t="shared" ca="1" si="67"/>
        <v>B12F</v>
      </c>
      <c r="K597" s="89"/>
      <c r="L597" s="89"/>
      <c r="M597" s="47" t="str">
        <f t="shared" ca="1" si="68"/>
        <v>EA1F</v>
      </c>
      <c r="N597" s="89"/>
      <c r="O597" s="47" t="str">
        <f t="shared" ca="1" si="69"/>
        <v>E5B5</v>
      </c>
    </row>
    <row r="598" spans="2:15">
      <c r="B598" s="48">
        <f t="shared" ca="1" si="63"/>
        <v>40479</v>
      </c>
      <c r="C598" s="49">
        <f ca="1">BitXOR(B598, $V$16)</f>
        <v>39451</v>
      </c>
      <c r="D598" s="64">
        <f t="shared" ca="1" si="64"/>
        <v>28062</v>
      </c>
      <c r="E598" s="64">
        <f t="shared" ca="1" si="65"/>
        <v>870</v>
      </c>
      <c r="F598" s="89"/>
      <c r="G598" s="89"/>
      <c r="H598" s="47" t="str">
        <f t="shared" ca="1" si="66"/>
        <v>9E1F</v>
      </c>
      <c r="I598" s="89"/>
      <c r="J598" s="47" t="str">
        <f t="shared" ca="1" si="67"/>
        <v>9A1B</v>
      </c>
      <c r="K598" s="89"/>
      <c r="L598" s="89"/>
      <c r="M598" s="47" t="str">
        <f t="shared" ca="1" si="68"/>
        <v>6D9E</v>
      </c>
      <c r="N598" s="89"/>
      <c r="O598" s="47" t="str">
        <f t="shared" ca="1" si="69"/>
        <v>0366</v>
      </c>
    </row>
    <row r="599" spans="2:15">
      <c r="B599" s="48">
        <f t="shared" ref="B599:B662" ca="1" si="70">RANDBETWEEN(1,2^16-1)</f>
        <v>47543</v>
      </c>
      <c r="C599" s="49">
        <f ca="1">BitXOR(B599, $V$16)</f>
        <v>48563</v>
      </c>
      <c r="D599" s="64">
        <f t="shared" ca="1" si="64"/>
        <v>12442</v>
      </c>
      <c r="E599" s="64">
        <f t="shared" ca="1" si="65"/>
        <v>48717</v>
      </c>
      <c r="F599" s="89"/>
      <c r="G599" s="89"/>
      <c r="H599" s="47" t="str">
        <f t="shared" ca="1" si="66"/>
        <v>B9B7</v>
      </c>
      <c r="I599" s="89"/>
      <c r="J599" s="47" t="str">
        <f t="shared" ca="1" si="67"/>
        <v>BDB3</v>
      </c>
      <c r="K599" s="89"/>
      <c r="L599" s="89"/>
      <c r="M599" s="47" t="str">
        <f t="shared" ca="1" si="68"/>
        <v>309A</v>
      </c>
      <c r="N599" s="89"/>
      <c r="O599" s="47" t="str">
        <f t="shared" ca="1" si="69"/>
        <v>BE4D</v>
      </c>
    </row>
    <row r="600" spans="2:15">
      <c r="B600" s="48">
        <f t="shared" ca="1" si="70"/>
        <v>62737</v>
      </c>
      <c r="C600" s="49">
        <f ca="1">BitXOR(B600, $V$16)</f>
        <v>61717</v>
      </c>
      <c r="D600" s="64">
        <f t="shared" ca="1" si="64"/>
        <v>31590</v>
      </c>
      <c r="E600" s="64">
        <f t="shared" ca="1" si="65"/>
        <v>58928</v>
      </c>
      <c r="F600" s="89"/>
      <c r="G600" s="89"/>
      <c r="H600" s="47" t="str">
        <f t="shared" ca="1" si="66"/>
        <v>F511</v>
      </c>
      <c r="I600" s="89"/>
      <c r="J600" s="47" t="str">
        <f t="shared" ca="1" si="67"/>
        <v>F115</v>
      </c>
      <c r="K600" s="89"/>
      <c r="L600" s="89"/>
      <c r="M600" s="47" t="str">
        <f t="shared" ca="1" si="68"/>
        <v>7B66</v>
      </c>
      <c r="N600" s="89"/>
      <c r="O600" s="47" t="str">
        <f t="shared" ca="1" si="69"/>
        <v>E630</v>
      </c>
    </row>
    <row r="601" spans="2:15">
      <c r="B601" s="48">
        <f t="shared" ca="1" si="70"/>
        <v>31497</v>
      </c>
      <c r="C601" s="49">
        <f ca="1">BitXOR(B601, $V$16)</f>
        <v>32525</v>
      </c>
      <c r="D601" s="64">
        <f t="shared" ca="1" si="64"/>
        <v>40437</v>
      </c>
      <c r="E601" s="64">
        <f t="shared" ca="1" si="65"/>
        <v>31814</v>
      </c>
      <c r="F601" s="89"/>
      <c r="G601" s="89"/>
      <c r="H601" s="47" t="str">
        <f t="shared" ca="1" si="66"/>
        <v>7B09</v>
      </c>
      <c r="I601" s="89"/>
      <c r="J601" s="47" t="str">
        <f t="shared" ca="1" si="67"/>
        <v>7F0D</v>
      </c>
      <c r="K601" s="89"/>
      <c r="L601" s="89"/>
      <c r="M601" s="47" t="str">
        <f t="shared" ca="1" si="68"/>
        <v>9DF5</v>
      </c>
      <c r="N601" s="89"/>
      <c r="O601" s="47" t="str">
        <f t="shared" ca="1" si="69"/>
        <v>7C46</v>
      </c>
    </row>
    <row r="602" spans="2:15">
      <c r="B602" s="48">
        <f t="shared" ca="1" si="70"/>
        <v>40740</v>
      </c>
      <c r="C602" s="49">
        <f ca="1">BitXOR(B602, $V$16)</f>
        <v>39712</v>
      </c>
      <c r="D602" s="64">
        <f t="shared" ca="1" si="64"/>
        <v>33348</v>
      </c>
      <c r="E602" s="64">
        <f t="shared" ca="1" si="65"/>
        <v>50655</v>
      </c>
      <c r="F602" s="89"/>
      <c r="G602" s="89"/>
      <c r="H602" s="47" t="str">
        <f t="shared" ca="1" si="66"/>
        <v>9F24</v>
      </c>
      <c r="I602" s="89"/>
      <c r="J602" s="47" t="str">
        <f t="shared" ca="1" si="67"/>
        <v>9B20</v>
      </c>
      <c r="K602" s="89"/>
      <c r="L602" s="89"/>
      <c r="M602" s="47" t="str">
        <f t="shared" ca="1" si="68"/>
        <v>8244</v>
      </c>
      <c r="N602" s="89"/>
      <c r="O602" s="47" t="str">
        <f t="shared" ca="1" si="69"/>
        <v>C5DF</v>
      </c>
    </row>
    <row r="603" spans="2:15">
      <c r="B603" s="48">
        <f t="shared" ca="1" si="70"/>
        <v>22385</v>
      </c>
      <c r="C603" s="49">
        <f ca="1">BitXOR(B603, $V$16)</f>
        <v>21365</v>
      </c>
      <c r="D603" s="64">
        <f t="shared" ca="1" si="64"/>
        <v>20664</v>
      </c>
      <c r="E603" s="64">
        <f t="shared" ca="1" si="65"/>
        <v>23794</v>
      </c>
      <c r="F603" s="89"/>
      <c r="G603" s="89"/>
      <c r="H603" s="47" t="str">
        <f t="shared" ca="1" si="66"/>
        <v>5771</v>
      </c>
      <c r="I603" s="89"/>
      <c r="J603" s="47" t="str">
        <f t="shared" ca="1" si="67"/>
        <v>5375</v>
      </c>
      <c r="K603" s="89"/>
      <c r="L603" s="89"/>
      <c r="M603" s="47" t="str">
        <f t="shared" ca="1" si="68"/>
        <v>50B8</v>
      </c>
      <c r="N603" s="89"/>
      <c r="O603" s="47" t="str">
        <f t="shared" ca="1" si="69"/>
        <v>5CF2</v>
      </c>
    </row>
    <row r="604" spans="2:15">
      <c r="B604" s="48">
        <f t="shared" ca="1" si="70"/>
        <v>29241</v>
      </c>
      <c r="C604" s="49">
        <f ca="1">BitXOR(B604, $V$16)</f>
        <v>30269</v>
      </c>
      <c r="D604" s="64">
        <f t="shared" ca="1" si="64"/>
        <v>46189</v>
      </c>
      <c r="E604" s="64">
        <f t="shared" ca="1" si="65"/>
        <v>29857</v>
      </c>
      <c r="F604" s="89"/>
      <c r="G604" s="89"/>
      <c r="H604" s="47" t="str">
        <f t="shared" ca="1" si="66"/>
        <v>7239</v>
      </c>
      <c r="I604" s="89"/>
      <c r="J604" s="47" t="str">
        <f t="shared" ca="1" si="67"/>
        <v>763D</v>
      </c>
      <c r="K604" s="89"/>
      <c r="L604" s="89"/>
      <c r="M604" s="47" t="str">
        <f t="shared" ca="1" si="68"/>
        <v>B46D</v>
      </c>
      <c r="N604" s="89"/>
      <c r="O604" s="47" t="str">
        <f t="shared" ca="1" si="69"/>
        <v>74A1</v>
      </c>
    </row>
    <row r="605" spans="2:15">
      <c r="B605" s="48">
        <f t="shared" ca="1" si="70"/>
        <v>41710</v>
      </c>
      <c r="C605" s="49">
        <f ca="1">BitXOR(B605, $V$16)</f>
        <v>42730</v>
      </c>
      <c r="D605" s="64">
        <f t="shared" ca="1" si="64"/>
        <v>20529</v>
      </c>
      <c r="E605" s="64">
        <f t="shared" ca="1" si="65"/>
        <v>24257</v>
      </c>
      <c r="F605" s="89"/>
      <c r="G605" s="89"/>
      <c r="H605" s="47" t="str">
        <f t="shared" ca="1" si="66"/>
        <v>A2EE</v>
      </c>
      <c r="I605" s="89"/>
      <c r="J605" s="47" t="str">
        <f t="shared" ca="1" si="67"/>
        <v>A6EA</v>
      </c>
      <c r="K605" s="89"/>
      <c r="L605" s="89"/>
      <c r="M605" s="47" t="str">
        <f t="shared" ca="1" si="68"/>
        <v>5031</v>
      </c>
      <c r="N605" s="89"/>
      <c r="O605" s="47" t="str">
        <f t="shared" ca="1" si="69"/>
        <v>5EC1</v>
      </c>
    </row>
    <row r="606" spans="2:15">
      <c r="B606" s="48">
        <f t="shared" ca="1" si="70"/>
        <v>30503</v>
      </c>
      <c r="C606" s="49">
        <f ca="1">BitXOR(B606, $V$16)</f>
        <v>29475</v>
      </c>
      <c r="D606" s="64">
        <f t="shared" ca="1" si="64"/>
        <v>10868</v>
      </c>
      <c r="E606" s="64">
        <f t="shared" ca="1" si="65"/>
        <v>5384</v>
      </c>
      <c r="F606" s="89"/>
      <c r="G606" s="89"/>
      <c r="H606" s="47" t="str">
        <f t="shared" ca="1" si="66"/>
        <v>7727</v>
      </c>
      <c r="I606" s="89"/>
      <c r="J606" s="47" t="str">
        <f t="shared" ca="1" si="67"/>
        <v>7323</v>
      </c>
      <c r="K606" s="89"/>
      <c r="L606" s="89"/>
      <c r="M606" s="47" t="str">
        <f t="shared" ca="1" si="68"/>
        <v>2A74</v>
      </c>
      <c r="N606" s="89"/>
      <c r="O606" s="47" t="str">
        <f t="shared" ca="1" si="69"/>
        <v>1508</v>
      </c>
    </row>
    <row r="607" spans="2:15">
      <c r="B607" s="48">
        <f t="shared" ca="1" si="70"/>
        <v>16986</v>
      </c>
      <c r="C607" s="49">
        <f ca="1">BitXOR(B607, $V$16)</f>
        <v>18014</v>
      </c>
      <c r="D607" s="64">
        <f t="shared" ca="1" si="64"/>
        <v>7985</v>
      </c>
      <c r="E607" s="64">
        <f t="shared" ca="1" si="65"/>
        <v>11209</v>
      </c>
      <c r="F607" s="89"/>
      <c r="G607" s="89"/>
      <c r="H607" s="47" t="str">
        <f t="shared" ca="1" si="66"/>
        <v>425A</v>
      </c>
      <c r="I607" s="89"/>
      <c r="J607" s="47" t="str">
        <f t="shared" ca="1" si="67"/>
        <v>465E</v>
      </c>
      <c r="K607" s="89"/>
      <c r="L607" s="89"/>
      <c r="M607" s="47" t="str">
        <f t="shared" ca="1" si="68"/>
        <v>1F31</v>
      </c>
      <c r="N607" s="89"/>
      <c r="O607" s="47" t="str">
        <f t="shared" ca="1" si="69"/>
        <v>2BC9</v>
      </c>
    </row>
    <row r="608" spans="2:15">
      <c r="B608" s="48">
        <f t="shared" ca="1" si="70"/>
        <v>54201</v>
      </c>
      <c r="C608" s="49">
        <f ca="1">BitXOR(B608, $V$16)</f>
        <v>55229</v>
      </c>
      <c r="D608" s="64">
        <f t="shared" ca="1" si="64"/>
        <v>59349</v>
      </c>
      <c r="E608" s="64">
        <f t="shared" ca="1" si="65"/>
        <v>6101</v>
      </c>
      <c r="F608" s="89"/>
      <c r="G608" s="89"/>
      <c r="H608" s="47" t="str">
        <f t="shared" ca="1" si="66"/>
        <v>D3B9</v>
      </c>
      <c r="I608" s="89"/>
      <c r="J608" s="47" t="str">
        <f t="shared" ca="1" si="67"/>
        <v>D7BD</v>
      </c>
      <c r="K608" s="89"/>
      <c r="L608" s="89"/>
      <c r="M608" s="47" t="str">
        <f t="shared" ca="1" si="68"/>
        <v>E7D5</v>
      </c>
      <c r="N608" s="89"/>
      <c r="O608" s="47" t="str">
        <f t="shared" ca="1" si="69"/>
        <v>17D5</v>
      </c>
    </row>
    <row r="609" spans="2:15">
      <c r="B609" s="48">
        <f t="shared" ca="1" si="70"/>
        <v>12043</v>
      </c>
      <c r="C609" s="49">
        <f ca="1">BitXOR(B609, $V$16)</f>
        <v>11023</v>
      </c>
      <c r="D609" s="64">
        <f t="shared" ca="1" si="64"/>
        <v>53872</v>
      </c>
      <c r="E609" s="64">
        <f t="shared" ca="1" si="65"/>
        <v>32736</v>
      </c>
      <c r="F609" s="89"/>
      <c r="G609" s="89"/>
      <c r="H609" s="47" t="str">
        <f t="shared" ca="1" si="66"/>
        <v>2F0B</v>
      </c>
      <c r="I609" s="89"/>
      <c r="J609" s="47" t="str">
        <f t="shared" ca="1" si="67"/>
        <v>2B0F</v>
      </c>
      <c r="K609" s="89"/>
      <c r="L609" s="89"/>
      <c r="M609" s="47" t="str">
        <f t="shared" ca="1" si="68"/>
        <v>D270</v>
      </c>
      <c r="N609" s="89"/>
      <c r="O609" s="47" t="str">
        <f t="shared" ca="1" si="69"/>
        <v>7FE0</v>
      </c>
    </row>
    <row r="610" spans="2:15">
      <c r="B610" s="48">
        <f t="shared" ca="1" si="70"/>
        <v>42152</v>
      </c>
      <c r="C610" s="49">
        <f ca="1">BitXOR(B610, $V$16)</f>
        <v>41132</v>
      </c>
      <c r="D610" s="64">
        <f t="shared" ca="1" si="64"/>
        <v>45559</v>
      </c>
      <c r="E610" s="64">
        <f t="shared" ca="1" si="65"/>
        <v>49495</v>
      </c>
      <c r="F610" s="89"/>
      <c r="G610" s="89"/>
      <c r="H610" s="47" t="str">
        <f t="shared" ca="1" si="66"/>
        <v>A4A8</v>
      </c>
      <c r="I610" s="89"/>
      <c r="J610" s="47" t="str">
        <f t="shared" ca="1" si="67"/>
        <v>A0AC</v>
      </c>
      <c r="K610" s="89"/>
      <c r="L610" s="89"/>
      <c r="M610" s="47" t="str">
        <f t="shared" ca="1" si="68"/>
        <v>B1F7</v>
      </c>
      <c r="N610" s="89"/>
      <c r="O610" s="47" t="str">
        <f t="shared" ca="1" si="69"/>
        <v>C157</v>
      </c>
    </row>
    <row r="611" spans="2:15">
      <c r="B611" s="48">
        <f t="shared" ca="1" si="70"/>
        <v>43131</v>
      </c>
      <c r="C611" s="49">
        <f ca="1">BitXOR(B611, $V$16)</f>
        <v>44159</v>
      </c>
      <c r="D611" s="64">
        <f t="shared" ca="1" si="64"/>
        <v>60298</v>
      </c>
      <c r="E611" s="64">
        <f t="shared" ca="1" si="65"/>
        <v>44337</v>
      </c>
      <c r="F611" s="89"/>
      <c r="G611" s="89"/>
      <c r="H611" s="47" t="str">
        <f t="shared" ca="1" si="66"/>
        <v>A87B</v>
      </c>
      <c r="I611" s="89"/>
      <c r="J611" s="47" t="str">
        <f t="shared" ca="1" si="67"/>
        <v>AC7F</v>
      </c>
      <c r="K611" s="89"/>
      <c r="L611" s="89"/>
      <c r="M611" s="47" t="str">
        <f t="shared" ca="1" si="68"/>
        <v>EB8A</v>
      </c>
      <c r="N611" s="89"/>
      <c r="O611" s="47" t="str">
        <f t="shared" ca="1" si="69"/>
        <v>AD31</v>
      </c>
    </row>
    <row r="612" spans="2:15">
      <c r="B612" s="48">
        <f t="shared" ca="1" si="70"/>
        <v>50470</v>
      </c>
      <c r="C612" s="49">
        <f ca="1">BitXOR(B612, $V$16)</f>
        <v>49442</v>
      </c>
      <c r="D612" s="64">
        <f t="shared" ca="1" si="64"/>
        <v>18699</v>
      </c>
      <c r="E612" s="64">
        <f t="shared" ca="1" si="65"/>
        <v>58462</v>
      </c>
      <c r="F612" s="89"/>
      <c r="G612" s="89"/>
      <c r="H612" s="47" t="str">
        <f t="shared" ca="1" si="66"/>
        <v>C526</v>
      </c>
      <c r="I612" s="89"/>
      <c r="J612" s="47" t="str">
        <f t="shared" ca="1" si="67"/>
        <v>C122</v>
      </c>
      <c r="K612" s="89"/>
      <c r="L612" s="89"/>
      <c r="M612" s="47" t="str">
        <f t="shared" ca="1" si="68"/>
        <v>490B</v>
      </c>
      <c r="N612" s="89"/>
      <c r="O612" s="47" t="str">
        <f t="shared" ca="1" si="69"/>
        <v>E45E</v>
      </c>
    </row>
    <row r="613" spans="2:15">
      <c r="B613" s="48">
        <f t="shared" ca="1" si="70"/>
        <v>24415</v>
      </c>
      <c r="C613" s="49">
        <f ca="1">BitXOR(B613, $V$16)</f>
        <v>23387</v>
      </c>
      <c r="D613" s="64">
        <f t="shared" ref="D613:D676" ca="1" si="71">Encrypt(B613, $D$2:$S$3, $D$6:$S$7, $V$10,$V$11,$V$12,$W$10,$W$11)</f>
        <v>60738</v>
      </c>
      <c r="E613" s="64">
        <f t="shared" ref="E613:E676" ca="1" si="72">Encrypt(C613, $D$2:$S$3, $D$6:$S$7, $V$10,$V$11,$V$12,$W$10,$W$11)</f>
        <v>42773</v>
      </c>
      <c r="F613" s="89"/>
      <c r="G613" s="89"/>
      <c r="H613" s="47" t="str">
        <f t="shared" ref="H613:H676" ca="1" si="73">DEC2HEX(B613,4)</f>
        <v>5F5F</v>
      </c>
      <c r="I613" s="89"/>
      <c r="J613" s="47" t="str">
        <f t="shared" ref="J613:J676" ca="1" si="74">DEC2HEX(C613,4)</f>
        <v>5B5B</v>
      </c>
      <c r="K613" s="89"/>
      <c r="L613" s="89"/>
      <c r="M613" s="47" t="str">
        <f t="shared" ref="M613:M676" ca="1" si="75">DEC2HEX(D613,4)</f>
        <v>ED42</v>
      </c>
      <c r="N613" s="89"/>
      <c r="O613" s="47" t="str">
        <f t="shared" ref="O613:O676" ca="1" si="76">DEC2HEX(E613,4)</f>
        <v>A715</v>
      </c>
    </row>
    <row r="614" spans="2:15">
      <c r="B614" s="48">
        <f t="shared" ca="1" si="70"/>
        <v>36512</v>
      </c>
      <c r="C614" s="49">
        <f ca="1">BitXOR(B614, $V$16)</f>
        <v>35492</v>
      </c>
      <c r="D614" s="64">
        <f t="shared" ca="1" si="71"/>
        <v>6458</v>
      </c>
      <c r="E614" s="64">
        <f t="shared" ca="1" si="72"/>
        <v>43051</v>
      </c>
      <c r="F614" s="89"/>
      <c r="G614" s="89"/>
      <c r="H614" s="47" t="str">
        <f t="shared" ca="1" si="73"/>
        <v>8EA0</v>
      </c>
      <c r="I614" s="89"/>
      <c r="J614" s="47" t="str">
        <f t="shared" ca="1" si="74"/>
        <v>8AA4</v>
      </c>
      <c r="K614" s="89"/>
      <c r="L614" s="89"/>
      <c r="M614" s="47" t="str">
        <f t="shared" ca="1" si="75"/>
        <v>193A</v>
      </c>
      <c r="N614" s="89"/>
      <c r="O614" s="47" t="str">
        <f t="shared" ca="1" si="76"/>
        <v>A82B</v>
      </c>
    </row>
    <row r="615" spans="2:15">
      <c r="B615" s="48">
        <f t="shared" ca="1" si="70"/>
        <v>54469</v>
      </c>
      <c r="C615" s="49">
        <f ca="1">BitXOR(B615, $V$16)</f>
        <v>53441</v>
      </c>
      <c r="D615" s="64">
        <f t="shared" ca="1" si="71"/>
        <v>1737</v>
      </c>
      <c r="E615" s="64">
        <f t="shared" ca="1" si="72"/>
        <v>59577</v>
      </c>
      <c r="F615" s="89"/>
      <c r="G615" s="89"/>
      <c r="H615" s="47" t="str">
        <f t="shared" ca="1" si="73"/>
        <v>D4C5</v>
      </c>
      <c r="I615" s="89"/>
      <c r="J615" s="47" t="str">
        <f t="shared" ca="1" si="74"/>
        <v>D0C1</v>
      </c>
      <c r="K615" s="89"/>
      <c r="L615" s="89"/>
      <c r="M615" s="47" t="str">
        <f t="shared" ca="1" si="75"/>
        <v>06C9</v>
      </c>
      <c r="N615" s="89"/>
      <c r="O615" s="47" t="str">
        <f t="shared" ca="1" si="76"/>
        <v>E8B9</v>
      </c>
    </row>
    <row r="616" spans="2:15">
      <c r="B616" s="48">
        <f t="shared" ca="1" si="70"/>
        <v>38422</v>
      </c>
      <c r="C616" s="49">
        <f ca="1">BitXOR(B616, $V$16)</f>
        <v>37394</v>
      </c>
      <c r="D616" s="64">
        <f t="shared" ca="1" si="71"/>
        <v>23525</v>
      </c>
      <c r="E616" s="64">
        <f t="shared" ca="1" si="72"/>
        <v>27849</v>
      </c>
      <c r="F616" s="89"/>
      <c r="G616" s="89"/>
      <c r="H616" s="47" t="str">
        <f t="shared" ca="1" si="73"/>
        <v>9616</v>
      </c>
      <c r="I616" s="89"/>
      <c r="J616" s="47" t="str">
        <f t="shared" ca="1" si="74"/>
        <v>9212</v>
      </c>
      <c r="K616" s="89"/>
      <c r="L616" s="89"/>
      <c r="M616" s="47" t="str">
        <f t="shared" ca="1" si="75"/>
        <v>5BE5</v>
      </c>
      <c r="N616" s="89"/>
      <c r="O616" s="47" t="str">
        <f t="shared" ca="1" si="76"/>
        <v>6CC9</v>
      </c>
    </row>
    <row r="617" spans="2:15">
      <c r="B617" s="48">
        <f t="shared" ca="1" si="70"/>
        <v>26473</v>
      </c>
      <c r="C617" s="49">
        <f ca="1">BitXOR(B617, $V$16)</f>
        <v>25453</v>
      </c>
      <c r="D617" s="64">
        <f t="shared" ca="1" si="71"/>
        <v>22293</v>
      </c>
      <c r="E617" s="64">
        <f t="shared" ca="1" si="72"/>
        <v>26389</v>
      </c>
      <c r="F617" s="89"/>
      <c r="G617" s="89"/>
      <c r="H617" s="47" t="str">
        <f t="shared" ca="1" si="73"/>
        <v>6769</v>
      </c>
      <c r="I617" s="89"/>
      <c r="J617" s="47" t="str">
        <f t="shared" ca="1" si="74"/>
        <v>636D</v>
      </c>
      <c r="K617" s="89"/>
      <c r="L617" s="89"/>
      <c r="M617" s="47" t="str">
        <f t="shared" ca="1" si="75"/>
        <v>5715</v>
      </c>
      <c r="N617" s="89"/>
      <c r="O617" s="47" t="str">
        <f t="shared" ca="1" si="76"/>
        <v>6715</v>
      </c>
    </row>
    <row r="618" spans="2:15">
      <c r="B618" s="48">
        <f t="shared" ca="1" si="70"/>
        <v>53658</v>
      </c>
      <c r="C618" s="49">
        <f ca="1">BitXOR(B618, $V$16)</f>
        <v>54686</v>
      </c>
      <c r="D618" s="64">
        <f t="shared" ca="1" si="71"/>
        <v>11553</v>
      </c>
      <c r="E618" s="64">
        <f t="shared" ca="1" si="72"/>
        <v>4033</v>
      </c>
      <c r="F618" s="89"/>
      <c r="G618" s="89"/>
      <c r="H618" s="47" t="str">
        <f t="shared" ca="1" si="73"/>
        <v>D19A</v>
      </c>
      <c r="I618" s="89"/>
      <c r="J618" s="47" t="str">
        <f t="shared" ca="1" si="74"/>
        <v>D59E</v>
      </c>
      <c r="K618" s="89"/>
      <c r="L618" s="89"/>
      <c r="M618" s="47" t="str">
        <f t="shared" ca="1" si="75"/>
        <v>2D21</v>
      </c>
      <c r="N618" s="89"/>
      <c r="O618" s="47" t="str">
        <f t="shared" ca="1" si="76"/>
        <v>0FC1</v>
      </c>
    </row>
    <row r="619" spans="2:15">
      <c r="B619" s="48">
        <f t="shared" ca="1" si="70"/>
        <v>59713</v>
      </c>
      <c r="C619" s="49">
        <f ca="1">BitXOR(B619, $V$16)</f>
        <v>60741</v>
      </c>
      <c r="D619" s="64">
        <f t="shared" ca="1" si="71"/>
        <v>1407</v>
      </c>
      <c r="E619" s="64">
        <f t="shared" ca="1" si="72"/>
        <v>1776</v>
      </c>
      <c r="F619" s="89"/>
      <c r="G619" s="89"/>
      <c r="H619" s="47" t="str">
        <f t="shared" ca="1" si="73"/>
        <v>E941</v>
      </c>
      <c r="I619" s="89"/>
      <c r="J619" s="47" t="str">
        <f t="shared" ca="1" si="74"/>
        <v>ED45</v>
      </c>
      <c r="K619" s="89"/>
      <c r="L619" s="89"/>
      <c r="M619" s="47" t="str">
        <f t="shared" ca="1" si="75"/>
        <v>057F</v>
      </c>
      <c r="N619" s="89"/>
      <c r="O619" s="47" t="str">
        <f t="shared" ca="1" si="76"/>
        <v>06F0</v>
      </c>
    </row>
    <row r="620" spans="2:15">
      <c r="B620" s="48">
        <f t="shared" ca="1" si="70"/>
        <v>41795</v>
      </c>
      <c r="C620" s="49">
        <f ca="1">BitXOR(B620, $V$16)</f>
        <v>42823</v>
      </c>
      <c r="D620" s="64">
        <f t="shared" ca="1" si="71"/>
        <v>53155</v>
      </c>
      <c r="E620" s="64">
        <f t="shared" ca="1" si="72"/>
        <v>52779</v>
      </c>
      <c r="F620" s="89"/>
      <c r="G620" s="89"/>
      <c r="H620" s="47" t="str">
        <f t="shared" ca="1" si="73"/>
        <v>A343</v>
      </c>
      <c r="I620" s="89"/>
      <c r="J620" s="47" t="str">
        <f t="shared" ca="1" si="74"/>
        <v>A747</v>
      </c>
      <c r="K620" s="89"/>
      <c r="L620" s="89"/>
      <c r="M620" s="47" t="str">
        <f t="shared" ca="1" si="75"/>
        <v>CFA3</v>
      </c>
      <c r="N620" s="89"/>
      <c r="O620" s="47" t="str">
        <f t="shared" ca="1" si="76"/>
        <v>CE2B</v>
      </c>
    </row>
    <row r="621" spans="2:15">
      <c r="B621" s="48">
        <f t="shared" ca="1" si="70"/>
        <v>64879</v>
      </c>
      <c r="C621" s="49">
        <f ca="1">BitXOR(B621, $V$16)</f>
        <v>63851</v>
      </c>
      <c r="D621" s="64">
        <f t="shared" ca="1" si="71"/>
        <v>37524</v>
      </c>
      <c r="E621" s="64">
        <f t="shared" ca="1" si="72"/>
        <v>58304</v>
      </c>
      <c r="F621" s="89"/>
      <c r="G621" s="89"/>
      <c r="H621" s="47" t="str">
        <f t="shared" ca="1" si="73"/>
        <v>FD6F</v>
      </c>
      <c r="I621" s="89"/>
      <c r="J621" s="47" t="str">
        <f t="shared" ca="1" si="74"/>
        <v>F96B</v>
      </c>
      <c r="K621" s="89"/>
      <c r="L621" s="89"/>
      <c r="M621" s="47" t="str">
        <f t="shared" ca="1" si="75"/>
        <v>9294</v>
      </c>
      <c r="N621" s="89"/>
      <c r="O621" s="47" t="str">
        <f t="shared" ca="1" si="76"/>
        <v>E3C0</v>
      </c>
    </row>
    <row r="622" spans="2:15">
      <c r="B622" s="48">
        <f t="shared" ca="1" si="70"/>
        <v>38260</v>
      </c>
      <c r="C622" s="49">
        <f ca="1">BitXOR(B622, $V$16)</f>
        <v>37232</v>
      </c>
      <c r="D622" s="64">
        <f t="shared" ca="1" si="71"/>
        <v>23749</v>
      </c>
      <c r="E622" s="64">
        <f t="shared" ca="1" si="72"/>
        <v>44676</v>
      </c>
      <c r="F622" s="89"/>
      <c r="G622" s="89"/>
      <c r="H622" s="47" t="str">
        <f t="shared" ca="1" si="73"/>
        <v>9574</v>
      </c>
      <c r="I622" s="89"/>
      <c r="J622" s="47" t="str">
        <f t="shared" ca="1" si="74"/>
        <v>9170</v>
      </c>
      <c r="K622" s="89"/>
      <c r="L622" s="89"/>
      <c r="M622" s="47" t="str">
        <f t="shared" ca="1" si="75"/>
        <v>5CC5</v>
      </c>
      <c r="N622" s="89"/>
      <c r="O622" s="47" t="str">
        <f t="shared" ca="1" si="76"/>
        <v>AE84</v>
      </c>
    </row>
    <row r="623" spans="2:15">
      <c r="B623" s="48">
        <f t="shared" ca="1" si="70"/>
        <v>49989</v>
      </c>
      <c r="C623" s="49">
        <f ca="1">BitXOR(B623, $V$16)</f>
        <v>51009</v>
      </c>
      <c r="D623" s="64">
        <f t="shared" ca="1" si="71"/>
        <v>1339</v>
      </c>
      <c r="E623" s="64">
        <f t="shared" ca="1" si="72"/>
        <v>62131</v>
      </c>
      <c r="F623" s="89"/>
      <c r="G623" s="89"/>
      <c r="H623" s="47" t="str">
        <f t="shared" ca="1" si="73"/>
        <v>C345</v>
      </c>
      <c r="I623" s="89"/>
      <c r="J623" s="47" t="str">
        <f t="shared" ca="1" si="74"/>
        <v>C741</v>
      </c>
      <c r="K623" s="89"/>
      <c r="L623" s="89"/>
      <c r="M623" s="47" t="str">
        <f t="shared" ca="1" si="75"/>
        <v>053B</v>
      </c>
      <c r="N623" s="89"/>
      <c r="O623" s="47" t="str">
        <f t="shared" ca="1" si="76"/>
        <v>F2B3</v>
      </c>
    </row>
    <row r="624" spans="2:15">
      <c r="B624" s="48">
        <f t="shared" ca="1" si="70"/>
        <v>50580</v>
      </c>
      <c r="C624" s="49">
        <f ca="1">BitXOR(B624, $V$16)</f>
        <v>49552</v>
      </c>
      <c r="D624" s="64">
        <f t="shared" ca="1" si="71"/>
        <v>49173</v>
      </c>
      <c r="E624" s="64">
        <f t="shared" ca="1" si="72"/>
        <v>15468</v>
      </c>
      <c r="F624" s="89"/>
      <c r="G624" s="89"/>
      <c r="H624" s="47" t="str">
        <f t="shared" ca="1" si="73"/>
        <v>C594</v>
      </c>
      <c r="I624" s="89"/>
      <c r="J624" s="47" t="str">
        <f t="shared" ca="1" si="74"/>
        <v>C190</v>
      </c>
      <c r="K624" s="89"/>
      <c r="L624" s="89"/>
      <c r="M624" s="47" t="str">
        <f t="shared" ca="1" si="75"/>
        <v>C015</v>
      </c>
      <c r="N624" s="89"/>
      <c r="O624" s="47" t="str">
        <f t="shared" ca="1" si="76"/>
        <v>3C6C</v>
      </c>
    </row>
    <row r="625" spans="2:15">
      <c r="B625" s="48">
        <f t="shared" ca="1" si="70"/>
        <v>59824</v>
      </c>
      <c r="C625" s="49">
        <f ca="1">BitXOR(B625, $V$16)</f>
        <v>60852</v>
      </c>
      <c r="D625" s="64">
        <f t="shared" ca="1" si="71"/>
        <v>844</v>
      </c>
      <c r="E625" s="64">
        <f t="shared" ca="1" si="72"/>
        <v>52652</v>
      </c>
      <c r="F625" s="89"/>
      <c r="G625" s="89"/>
      <c r="H625" s="47" t="str">
        <f t="shared" ca="1" si="73"/>
        <v>E9B0</v>
      </c>
      <c r="I625" s="89"/>
      <c r="J625" s="47" t="str">
        <f t="shared" ca="1" si="74"/>
        <v>EDB4</v>
      </c>
      <c r="K625" s="89"/>
      <c r="L625" s="89"/>
      <c r="M625" s="47" t="str">
        <f t="shared" ca="1" si="75"/>
        <v>034C</v>
      </c>
      <c r="N625" s="89"/>
      <c r="O625" s="47" t="str">
        <f t="shared" ca="1" si="76"/>
        <v>CDAC</v>
      </c>
    </row>
    <row r="626" spans="2:15">
      <c r="B626" s="48">
        <f t="shared" ca="1" si="70"/>
        <v>58757</v>
      </c>
      <c r="C626" s="49">
        <f ca="1">BitXOR(B626, $V$16)</f>
        <v>57729</v>
      </c>
      <c r="D626" s="64">
        <f t="shared" ca="1" si="71"/>
        <v>25222</v>
      </c>
      <c r="E626" s="64">
        <f t="shared" ca="1" si="72"/>
        <v>51651</v>
      </c>
      <c r="F626" s="89"/>
      <c r="G626" s="89"/>
      <c r="H626" s="47" t="str">
        <f t="shared" ca="1" si="73"/>
        <v>E585</v>
      </c>
      <c r="I626" s="89"/>
      <c r="J626" s="47" t="str">
        <f t="shared" ca="1" si="74"/>
        <v>E181</v>
      </c>
      <c r="K626" s="89"/>
      <c r="L626" s="89"/>
      <c r="M626" s="47" t="str">
        <f t="shared" ca="1" si="75"/>
        <v>6286</v>
      </c>
      <c r="N626" s="89"/>
      <c r="O626" s="47" t="str">
        <f t="shared" ca="1" si="76"/>
        <v>C9C3</v>
      </c>
    </row>
    <row r="627" spans="2:15">
      <c r="B627" s="48">
        <f t="shared" ca="1" si="70"/>
        <v>62826</v>
      </c>
      <c r="C627" s="49">
        <f ca="1">BitXOR(B627, $V$16)</f>
        <v>61806</v>
      </c>
      <c r="D627" s="64">
        <f t="shared" ca="1" si="71"/>
        <v>22500</v>
      </c>
      <c r="E627" s="64">
        <f t="shared" ca="1" si="72"/>
        <v>356</v>
      </c>
      <c r="F627" s="89"/>
      <c r="G627" s="89"/>
      <c r="H627" s="47" t="str">
        <f t="shared" ca="1" si="73"/>
        <v>F56A</v>
      </c>
      <c r="I627" s="89"/>
      <c r="J627" s="47" t="str">
        <f t="shared" ca="1" si="74"/>
        <v>F16E</v>
      </c>
      <c r="K627" s="89"/>
      <c r="L627" s="89"/>
      <c r="M627" s="47" t="str">
        <f t="shared" ca="1" si="75"/>
        <v>57E4</v>
      </c>
      <c r="N627" s="89"/>
      <c r="O627" s="47" t="str">
        <f t="shared" ca="1" si="76"/>
        <v>0164</v>
      </c>
    </row>
    <row r="628" spans="2:15">
      <c r="B628" s="48">
        <f t="shared" ca="1" si="70"/>
        <v>54228</v>
      </c>
      <c r="C628" s="49">
        <f ca="1">BitXOR(B628, $V$16)</f>
        <v>55248</v>
      </c>
      <c r="D628" s="64">
        <f t="shared" ca="1" si="71"/>
        <v>63295</v>
      </c>
      <c r="E628" s="64">
        <f t="shared" ca="1" si="72"/>
        <v>58575</v>
      </c>
      <c r="F628" s="89"/>
      <c r="G628" s="89"/>
      <c r="H628" s="47" t="str">
        <f t="shared" ca="1" si="73"/>
        <v>D3D4</v>
      </c>
      <c r="I628" s="89"/>
      <c r="J628" s="47" t="str">
        <f t="shared" ca="1" si="74"/>
        <v>D7D0</v>
      </c>
      <c r="K628" s="89"/>
      <c r="L628" s="89"/>
      <c r="M628" s="47" t="str">
        <f t="shared" ca="1" si="75"/>
        <v>F73F</v>
      </c>
      <c r="N628" s="89"/>
      <c r="O628" s="47" t="str">
        <f t="shared" ca="1" si="76"/>
        <v>E4CF</v>
      </c>
    </row>
    <row r="629" spans="2:15">
      <c r="B629" s="48">
        <f t="shared" ca="1" si="70"/>
        <v>37919</v>
      </c>
      <c r="C629" s="49">
        <f ca="1">BitXOR(B629, $V$16)</f>
        <v>36891</v>
      </c>
      <c r="D629" s="64">
        <f t="shared" ca="1" si="71"/>
        <v>2206</v>
      </c>
      <c r="E629" s="64">
        <f t="shared" ca="1" si="72"/>
        <v>3577</v>
      </c>
      <c r="F629" s="89"/>
      <c r="G629" s="89"/>
      <c r="H629" s="47" t="str">
        <f t="shared" ca="1" si="73"/>
        <v>941F</v>
      </c>
      <c r="I629" s="89"/>
      <c r="J629" s="47" t="str">
        <f t="shared" ca="1" si="74"/>
        <v>901B</v>
      </c>
      <c r="K629" s="89"/>
      <c r="L629" s="89"/>
      <c r="M629" s="47" t="str">
        <f t="shared" ca="1" si="75"/>
        <v>089E</v>
      </c>
      <c r="N629" s="89"/>
      <c r="O629" s="47" t="str">
        <f t="shared" ca="1" si="76"/>
        <v>0DF9</v>
      </c>
    </row>
    <row r="630" spans="2:15">
      <c r="B630" s="48">
        <f t="shared" ca="1" si="70"/>
        <v>27560</v>
      </c>
      <c r="C630" s="49">
        <f ca="1">BitXOR(B630, $V$16)</f>
        <v>28588</v>
      </c>
      <c r="D630" s="64">
        <f t="shared" ca="1" si="71"/>
        <v>33533</v>
      </c>
      <c r="E630" s="64">
        <f t="shared" ca="1" si="72"/>
        <v>11711</v>
      </c>
      <c r="F630" s="89"/>
      <c r="G630" s="89"/>
      <c r="H630" s="47" t="str">
        <f t="shared" ca="1" si="73"/>
        <v>6BA8</v>
      </c>
      <c r="I630" s="89"/>
      <c r="J630" s="47" t="str">
        <f t="shared" ca="1" si="74"/>
        <v>6FAC</v>
      </c>
      <c r="K630" s="89"/>
      <c r="L630" s="89"/>
      <c r="M630" s="47" t="str">
        <f t="shared" ca="1" si="75"/>
        <v>82FD</v>
      </c>
      <c r="N630" s="89"/>
      <c r="O630" s="47" t="str">
        <f t="shared" ca="1" si="76"/>
        <v>2DBF</v>
      </c>
    </row>
    <row r="631" spans="2:15">
      <c r="B631" s="48">
        <f t="shared" ca="1" si="70"/>
        <v>38775</v>
      </c>
      <c r="C631" s="49">
        <f ca="1">BitXOR(B631, $V$16)</f>
        <v>37747</v>
      </c>
      <c r="D631" s="64">
        <f t="shared" ca="1" si="71"/>
        <v>9540</v>
      </c>
      <c r="E631" s="64">
        <f t="shared" ca="1" si="72"/>
        <v>59720</v>
      </c>
      <c r="F631" s="89"/>
      <c r="G631" s="89"/>
      <c r="H631" s="47" t="str">
        <f t="shared" ca="1" si="73"/>
        <v>9777</v>
      </c>
      <c r="I631" s="89"/>
      <c r="J631" s="47" t="str">
        <f t="shared" ca="1" si="74"/>
        <v>9373</v>
      </c>
      <c r="K631" s="89"/>
      <c r="L631" s="89"/>
      <c r="M631" s="47" t="str">
        <f t="shared" ca="1" si="75"/>
        <v>2544</v>
      </c>
      <c r="N631" s="89"/>
      <c r="O631" s="47" t="str">
        <f t="shared" ca="1" si="76"/>
        <v>E948</v>
      </c>
    </row>
    <row r="632" spans="2:15">
      <c r="B632" s="48">
        <f t="shared" ca="1" si="70"/>
        <v>19238</v>
      </c>
      <c r="C632" s="49">
        <f ca="1">BitXOR(B632, $V$16)</f>
        <v>20258</v>
      </c>
      <c r="D632" s="64">
        <f t="shared" ca="1" si="71"/>
        <v>34354</v>
      </c>
      <c r="E632" s="64">
        <f t="shared" ca="1" si="72"/>
        <v>11738</v>
      </c>
      <c r="F632" s="89"/>
      <c r="G632" s="89"/>
      <c r="H632" s="47" t="str">
        <f t="shared" ca="1" si="73"/>
        <v>4B26</v>
      </c>
      <c r="I632" s="89"/>
      <c r="J632" s="47" t="str">
        <f t="shared" ca="1" si="74"/>
        <v>4F22</v>
      </c>
      <c r="K632" s="89"/>
      <c r="L632" s="89"/>
      <c r="M632" s="47" t="str">
        <f t="shared" ca="1" si="75"/>
        <v>8632</v>
      </c>
      <c r="N632" s="89"/>
      <c r="O632" s="47" t="str">
        <f t="shared" ca="1" si="76"/>
        <v>2DDA</v>
      </c>
    </row>
    <row r="633" spans="2:15">
      <c r="B633" s="48">
        <f t="shared" ca="1" si="70"/>
        <v>40164</v>
      </c>
      <c r="C633" s="49">
        <f ca="1">BitXOR(B633, $V$16)</f>
        <v>39136</v>
      </c>
      <c r="D633" s="64">
        <f t="shared" ca="1" si="71"/>
        <v>50911</v>
      </c>
      <c r="E633" s="64">
        <f t="shared" ca="1" si="72"/>
        <v>13087</v>
      </c>
      <c r="F633" s="89"/>
      <c r="G633" s="89"/>
      <c r="H633" s="47" t="str">
        <f t="shared" ca="1" si="73"/>
        <v>9CE4</v>
      </c>
      <c r="I633" s="89"/>
      <c r="J633" s="47" t="str">
        <f t="shared" ca="1" si="74"/>
        <v>98E0</v>
      </c>
      <c r="K633" s="89"/>
      <c r="L633" s="89"/>
      <c r="M633" s="47" t="str">
        <f t="shared" ca="1" si="75"/>
        <v>C6DF</v>
      </c>
      <c r="N633" s="89"/>
      <c r="O633" s="47" t="str">
        <f t="shared" ca="1" si="76"/>
        <v>331F</v>
      </c>
    </row>
    <row r="634" spans="2:15">
      <c r="B634" s="48">
        <f t="shared" ca="1" si="70"/>
        <v>50045</v>
      </c>
      <c r="C634" s="49">
        <f ca="1">BitXOR(B634, $V$16)</f>
        <v>51065</v>
      </c>
      <c r="D634" s="64">
        <f t="shared" ca="1" si="71"/>
        <v>45377</v>
      </c>
      <c r="E634" s="64">
        <f t="shared" ca="1" si="72"/>
        <v>45388</v>
      </c>
      <c r="F634" s="89"/>
      <c r="G634" s="89"/>
      <c r="H634" s="47" t="str">
        <f t="shared" ca="1" si="73"/>
        <v>C37D</v>
      </c>
      <c r="I634" s="89"/>
      <c r="J634" s="47" t="str">
        <f t="shared" ca="1" si="74"/>
        <v>C779</v>
      </c>
      <c r="K634" s="89"/>
      <c r="L634" s="89"/>
      <c r="M634" s="47" t="str">
        <f t="shared" ca="1" si="75"/>
        <v>B141</v>
      </c>
      <c r="N634" s="89"/>
      <c r="O634" s="47" t="str">
        <f t="shared" ca="1" si="76"/>
        <v>B14C</v>
      </c>
    </row>
    <row r="635" spans="2:15">
      <c r="B635" s="48">
        <f t="shared" ca="1" si="70"/>
        <v>23641</v>
      </c>
      <c r="C635" s="49">
        <f ca="1">BitXOR(B635, $V$16)</f>
        <v>22621</v>
      </c>
      <c r="D635" s="64">
        <f t="shared" ca="1" si="71"/>
        <v>11383</v>
      </c>
      <c r="E635" s="64">
        <f t="shared" ca="1" si="72"/>
        <v>33215</v>
      </c>
      <c r="F635" s="89"/>
      <c r="G635" s="89"/>
      <c r="H635" s="47" t="str">
        <f t="shared" ca="1" si="73"/>
        <v>5C59</v>
      </c>
      <c r="I635" s="89"/>
      <c r="J635" s="47" t="str">
        <f t="shared" ca="1" si="74"/>
        <v>585D</v>
      </c>
      <c r="K635" s="89"/>
      <c r="L635" s="89"/>
      <c r="M635" s="47" t="str">
        <f t="shared" ca="1" si="75"/>
        <v>2C77</v>
      </c>
      <c r="N635" s="89"/>
      <c r="O635" s="47" t="str">
        <f t="shared" ca="1" si="76"/>
        <v>81BF</v>
      </c>
    </row>
    <row r="636" spans="2:15">
      <c r="B636" s="48">
        <f t="shared" ca="1" si="70"/>
        <v>257</v>
      </c>
      <c r="C636" s="49">
        <f ca="1">BitXOR(B636, $V$16)</f>
        <v>1285</v>
      </c>
      <c r="D636" s="64">
        <f t="shared" ca="1" si="71"/>
        <v>33006</v>
      </c>
      <c r="E636" s="64">
        <f t="shared" ca="1" si="72"/>
        <v>47148</v>
      </c>
      <c r="F636" s="89"/>
      <c r="G636" s="89"/>
      <c r="H636" s="47" t="str">
        <f t="shared" ca="1" si="73"/>
        <v>0101</v>
      </c>
      <c r="I636" s="89"/>
      <c r="J636" s="47" t="str">
        <f t="shared" ca="1" si="74"/>
        <v>0505</v>
      </c>
      <c r="K636" s="89"/>
      <c r="L636" s="89"/>
      <c r="M636" s="47" t="str">
        <f t="shared" ca="1" si="75"/>
        <v>80EE</v>
      </c>
      <c r="N636" s="89"/>
      <c r="O636" s="47" t="str">
        <f t="shared" ca="1" si="76"/>
        <v>B82C</v>
      </c>
    </row>
    <row r="637" spans="2:15">
      <c r="B637" s="48">
        <f t="shared" ca="1" si="70"/>
        <v>47833</v>
      </c>
      <c r="C637" s="49">
        <f ca="1">BitXOR(B637, $V$16)</f>
        <v>48861</v>
      </c>
      <c r="D637" s="64">
        <f t="shared" ca="1" si="71"/>
        <v>6767</v>
      </c>
      <c r="E637" s="64">
        <f t="shared" ca="1" si="72"/>
        <v>10856</v>
      </c>
      <c r="F637" s="89"/>
      <c r="G637" s="89"/>
      <c r="H637" s="47" t="str">
        <f t="shared" ca="1" si="73"/>
        <v>BAD9</v>
      </c>
      <c r="I637" s="89"/>
      <c r="J637" s="47" t="str">
        <f t="shared" ca="1" si="74"/>
        <v>BEDD</v>
      </c>
      <c r="K637" s="89"/>
      <c r="L637" s="89"/>
      <c r="M637" s="47" t="str">
        <f t="shared" ca="1" si="75"/>
        <v>1A6F</v>
      </c>
      <c r="N637" s="89"/>
      <c r="O637" s="47" t="str">
        <f t="shared" ca="1" si="76"/>
        <v>2A68</v>
      </c>
    </row>
    <row r="638" spans="2:15">
      <c r="B638" s="48">
        <f t="shared" ca="1" si="70"/>
        <v>40928</v>
      </c>
      <c r="C638" s="49">
        <f ca="1">BitXOR(B638, $V$16)</f>
        <v>39908</v>
      </c>
      <c r="D638" s="64">
        <f t="shared" ca="1" si="71"/>
        <v>32868</v>
      </c>
      <c r="E638" s="64">
        <f t="shared" ca="1" si="72"/>
        <v>23565</v>
      </c>
      <c r="F638" s="89"/>
      <c r="G638" s="89"/>
      <c r="H638" s="47" t="str">
        <f t="shared" ca="1" si="73"/>
        <v>9FE0</v>
      </c>
      <c r="I638" s="89"/>
      <c r="J638" s="47" t="str">
        <f t="shared" ca="1" si="74"/>
        <v>9BE4</v>
      </c>
      <c r="K638" s="89"/>
      <c r="L638" s="89"/>
      <c r="M638" s="47" t="str">
        <f t="shared" ca="1" si="75"/>
        <v>8064</v>
      </c>
      <c r="N638" s="89"/>
      <c r="O638" s="47" t="str">
        <f t="shared" ca="1" si="76"/>
        <v>5C0D</v>
      </c>
    </row>
    <row r="639" spans="2:15">
      <c r="B639" s="48">
        <f t="shared" ca="1" si="70"/>
        <v>58863</v>
      </c>
      <c r="C639" s="49">
        <f ca="1">BitXOR(B639, $V$16)</f>
        <v>57835</v>
      </c>
      <c r="D639" s="64">
        <f t="shared" ca="1" si="71"/>
        <v>32771</v>
      </c>
      <c r="E639" s="64">
        <f t="shared" ca="1" si="72"/>
        <v>41569</v>
      </c>
      <c r="F639" s="89"/>
      <c r="G639" s="89"/>
      <c r="H639" s="47" t="str">
        <f t="shared" ca="1" si="73"/>
        <v>E5EF</v>
      </c>
      <c r="I639" s="89"/>
      <c r="J639" s="47" t="str">
        <f t="shared" ca="1" si="74"/>
        <v>E1EB</v>
      </c>
      <c r="K639" s="89"/>
      <c r="L639" s="89"/>
      <c r="M639" s="47" t="str">
        <f t="shared" ca="1" si="75"/>
        <v>8003</v>
      </c>
      <c r="N639" s="89"/>
      <c r="O639" s="47" t="str">
        <f t="shared" ca="1" si="76"/>
        <v>A261</v>
      </c>
    </row>
    <row r="640" spans="2:15">
      <c r="B640" s="48">
        <f t="shared" ca="1" si="70"/>
        <v>19028</v>
      </c>
      <c r="C640" s="49">
        <f ca="1">BitXOR(B640, $V$16)</f>
        <v>20048</v>
      </c>
      <c r="D640" s="64">
        <f t="shared" ca="1" si="71"/>
        <v>50508</v>
      </c>
      <c r="E640" s="64">
        <f t="shared" ca="1" si="72"/>
        <v>4026</v>
      </c>
      <c r="F640" s="89"/>
      <c r="G640" s="89"/>
      <c r="H640" s="47" t="str">
        <f t="shared" ca="1" si="73"/>
        <v>4A54</v>
      </c>
      <c r="I640" s="89"/>
      <c r="J640" s="47" t="str">
        <f t="shared" ca="1" si="74"/>
        <v>4E50</v>
      </c>
      <c r="K640" s="89"/>
      <c r="L640" s="89"/>
      <c r="M640" s="47" t="str">
        <f t="shared" ca="1" si="75"/>
        <v>C54C</v>
      </c>
      <c r="N640" s="89"/>
      <c r="O640" s="47" t="str">
        <f t="shared" ca="1" si="76"/>
        <v>0FBA</v>
      </c>
    </row>
    <row r="641" spans="2:15">
      <c r="B641" s="48">
        <f t="shared" ca="1" si="70"/>
        <v>25570</v>
      </c>
      <c r="C641" s="49">
        <f ca="1">BitXOR(B641, $V$16)</f>
        <v>26598</v>
      </c>
      <c r="D641" s="64">
        <f t="shared" ca="1" si="71"/>
        <v>48881</v>
      </c>
      <c r="E641" s="64">
        <f t="shared" ca="1" si="72"/>
        <v>15835</v>
      </c>
      <c r="F641" s="89"/>
      <c r="G641" s="89"/>
      <c r="H641" s="47" t="str">
        <f t="shared" ca="1" si="73"/>
        <v>63E2</v>
      </c>
      <c r="I641" s="89"/>
      <c r="J641" s="47" t="str">
        <f t="shared" ca="1" si="74"/>
        <v>67E6</v>
      </c>
      <c r="K641" s="89"/>
      <c r="L641" s="89"/>
      <c r="M641" s="47" t="str">
        <f t="shared" ca="1" si="75"/>
        <v>BEF1</v>
      </c>
      <c r="N641" s="89"/>
      <c r="O641" s="47" t="str">
        <f t="shared" ca="1" si="76"/>
        <v>3DDB</v>
      </c>
    </row>
    <row r="642" spans="2:15">
      <c r="B642" s="48">
        <f t="shared" ca="1" si="70"/>
        <v>32228</v>
      </c>
      <c r="C642" s="49">
        <f ca="1">BitXOR(B642, $V$16)</f>
        <v>31200</v>
      </c>
      <c r="D642" s="64">
        <f t="shared" ca="1" si="71"/>
        <v>51928</v>
      </c>
      <c r="E642" s="64">
        <f t="shared" ca="1" si="72"/>
        <v>12602</v>
      </c>
      <c r="F642" s="89"/>
      <c r="G642" s="89"/>
      <c r="H642" s="47" t="str">
        <f t="shared" ca="1" si="73"/>
        <v>7DE4</v>
      </c>
      <c r="I642" s="89"/>
      <c r="J642" s="47" t="str">
        <f t="shared" ca="1" si="74"/>
        <v>79E0</v>
      </c>
      <c r="K642" s="89"/>
      <c r="L642" s="89"/>
      <c r="M642" s="47" t="str">
        <f t="shared" ca="1" si="75"/>
        <v>CAD8</v>
      </c>
      <c r="N642" s="89"/>
      <c r="O642" s="47" t="str">
        <f t="shared" ca="1" si="76"/>
        <v>313A</v>
      </c>
    </row>
    <row r="643" spans="2:15">
      <c r="B643" s="48">
        <f t="shared" ca="1" si="70"/>
        <v>24224</v>
      </c>
      <c r="C643" s="49">
        <f ca="1">BitXOR(B643, $V$16)</f>
        <v>23204</v>
      </c>
      <c r="D643" s="64">
        <f t="shared" ca="1" si="71"/>
        <v>60610</v>
      </c>
      <c r="E643" s="64">
        <f t="shared" ca="1" si="72"/>
        <v>47330</v>
      </c>
      <c r="F643" s="89"/>
      <c r="G643" s="89"/>
      <c r="H643" s="47" t="str">
        <f t="shared" ca="1" si="73"/>
        <v>5EA0</v>
      </c>
      <c r="I643" s="89"/>
      <c r="J643" s="47" t="str">
        <f t="shared" ca="1" si="74"/>
        <v>5AA4</v>
      </c>
      <c r="K643" s="89"/>
      <c r="L643" s="89"/>
      <c r="M643" s="47" t="str">
        <f t="shared" ca="1" si="75"/>
        <v>ECC2</v>
      </c>
      <c r="N643" s="89"/>
      <c r="O643" s="47" t="str">
        <f t="shared" ca="1" si="76"/>
        <v>B8E2</v>
      </c>
    </row>
    <row r="644" spans="2:15">
      <c r="B644" s="48">
        <f t="shared" ca="1" si="70"/>
        <v>19622</v>
      </c>
      <c r="C644" s="49">
        <f ca="1">BitXOR(B644, $V$16)</f>
        <v>18594</v>
      </c>
      <c r="D644" s="64">
        <f t="shared" ca="1" si="71"/>
        <v>50632</v>
      </c>
      <c r="E644" s="64">
        <f t="shared" ca="1" si="72"/>
        <v>51802</v>
      </c>
      <c r="F644" s="89"/>
      <c r="G644" s="89"/>
      <c r="H644" s="47" t="str">
        <f t="shared" ca="1" si="73"/>
        <v>4CA6</v>
      </c>
      <c r="I644" s="89"/>
      <c r="J644" s="47" t="str">
        <f t="shared" ca="1" si="74"/>
        <v>48A2</v>
      </c>
      <c r="K644" s="89"/>
      <c r="L644" s="89"/>
      <c r="M644" s="47" t="str">
        <f t="shared" ca="1" si="75"/>
        <v>C5C8</v>
      </c>
      <c r="N644" s="89"/>
      <c r="O644" s="47" t="str">
        <f t="shared" ca="1" si="76"/>
        <v>CA5A</v>
      </c>
    </row>
    <row r="645" spans="2:15">
      <c r="B645" s="48">
        <f t="shared" ca="1" si="70"/>
        <v>64978</v>
      </c>
      <c r="C645" s="49">
        <f ca="1">BitXOR(B645, $V$16)</f>
        <v>63958</v>
      </c>
      <c r="D645" s="64">
        <f t="shared" ca="1" si="71"/>
        <v>38627</v>
      </c>
      <c r="E645" s="64">
        <f t="shared" ca="1" si="72"/>
        <v>55287</v>
      </c>
      <c r="F645" s="89"/>
      <c r="G645" s="89"/>
      <c r="H645" s="47" t="str">
        <f t="shared" ca="1" si="73"/>
        <v>FDD2</v>
      </c>
      <c r="I645" s="89"/>
      <c r="J645" s="47" t="str">
        <f t="shared" ca="1" si="74"/>
        <v>F9D6</v>
      </c>
      <c r="K645" s="89"/>
      <c r="L645" s="89"/>
      <c r="M645" s="47" t="str">
        <f t="shared" ca="1" si="75"/>
        <v>96E3</v>
      </c>
      <c r="N645" s="89"/>
      <c r="O645" s="47" t="str">
        <f t="shared" ca="1" si="76"/>
        <v>D7F7</v>
      </c>
    </row>
    <row r="646" spans="2:15">
      <c r="B646" s="48">
        <f t="shared" ca="1" si="70"/>
        <v>24261</v>
      </c>
      <c r="C646" s="49">
        <f ca="1">BitXOR(B646, $V$16)</f>
        <v>23233</v>
      </c>
      <c r="D646" s="64">
        <f t="shared" ca="1" si="71"/>
        <v>16988</v>
      </c>
      <c r="E646" s="64">
        <f t="shared" ca="1" si="72"/>
        <v>41620</v>
      </c>
      <c r="F646" s="89"/>
      <c r="G646" s="89"/>
      <c r="H646" s="47" t="str">
        <f t="shared" ca="1" si="73"/>
        <v>5EC5</v>
      </c>
      <c r="I646" s="89"/>
      <c r="J646" s="47" t="str">
        <f t="shared" ca="1" si="74"/>
        <v>5AC1</v>
      </c>
      <c r="K646" s="89"/>
      <c r="L646" s="89"/>
      <c r="M646" s="47" t="str">
        <f t="shared" ca="1" si="75"/>
        <v>425C</v>
      </c>
      <c r="N646" s="89"/>
      <c r="O646" s="47" t="str">
        <f t="shared" ca="1" si="76"/>
        <v>A294</v>
      </c>
    </row>
    <row r="647" spans="2:15">
      <c r="B647" s="48">
        <f t="shared" ca="1" si="70"/>
        <v>42283</v>
      </c>
      <c r="C647" s="49">
        <f ca="1">BitXOR(B647, $V$16)</f>
        <v>41263</v>
      </c>
      <c r="D647" s="64">
        <f t="shared" ca="1" si="71"/>
        <v>49601</v>
      </c>
      <c r="E647" s="64">
        <f t="shared" ca="1" si="72"/>
        <v>24881</v>
      </c>
      <c r="F647" s="89"/>
      <c r="G647" s="89"/>
      <c r="H647" s="47" t="str">
        <f t="shared" ca="1" si="73"/>
        <v>A52B</v>
      </c>
      <c r="I647" s="89"/>
      <c r="J647" s="47" t="str">
        <f t="shared" ca="1" si="74"/>
        <v>A12F</v>
      </c>
      <c r="K647" s="89"/>
      <c r="L647" s="89"/>
      <c r="M647" s="47" t="str">
        <f t="shared" ca="1" si="75"/>
        <v>C1C1</v>
      </c>
      <c r="N647" s="89"/>
      <c r="O647" s="47" t="str">
        <f t="shared" ca="1" si="76"/>
        <v>6131</v>
      </c>
    </row>
    <row r="648" spans="2:15">
      <c r="B648" s="48">
        <f t="shared" ca="1" si="70"/>
        <v>45253</v>
      </c>
      <c r="C648" s="49">
        <f ca="1">BitXOR(B648, $V$16)</f>
        <v>46273</v>
      </c>
      <c r="D648" s="64">
        <f t="shared" ca="1" si="71"/>
        <v>44190</v>
      </c>
      <c r="E648" s="64">
        <f t="shared" ca="1" si="72"/>
        <v>54661</v>
      </c>
      <c r="F648" s="89"/>
      <c r="G648" s="89"/>
      <c r="H648" s="47" t="str">
        <f t="shared" ca="1" si="73"/>
        <v>B0C5</v>
      </c>
      <c r="I648" s="89"/>
      <c r="J648" s="47" t="str">
        <f t="shared" ca="1" si="74"/>
        <v>B4C1</v>
      </c>
      <c r="K648" s="89"/>
      <c r="L648" s="89"/>
      <c r="M648" s="47" t="str">
        <f t="shared" ca="1" si="75"/>
        <v>AC9E</v>
      </c>
      <c r="N648" s="89"/>
      <c r="O648" s="47" t="str">
        <f t="shared" ca="1" si="76"/>
        <v>D585</v>
      </c>
    </row>
    <row r="649" spans="2:15">
      <c r="B649" s="48">
        <f t="shared" ca="1" si="70"/>
        <v>63115</v>
      </c>
      <c r="C649" s="49">
        <f ca="1">BitXOR(B649, $V$16)</f>
        <v>62095</v>
      </c>
      <c r="D649" s="64">
        <f t="shared" ca="1" si="71"/>
        <v>59567</v>
      </c>
      <c r="E649" s="64">
        <f t="shared" ca="1" si="72"/>
        <v>7596</v>
      </c>
      <c r="F649" s="89"/>
      <c r="G649" s="89"/>
      <c r="H649" s="47" t="str">
        <f t="shared" ca="1" si="73"/>
        <v>F68B</v>
      </c>
      <c r="I649" s="89"/>
      <c r="J649" s="47" t="str">
        <f t="shared" ca="1" si="74"/>
        <v>F28F</v>
      </c>
      <c r="K649" s="89"/>
      <c r="L649" s="89"/>
      <c r="M649" s="47" t="str">
        <f t="shared" ca="1" si="75"/>
        <v>E8AF</v>
      </c>
      <c r="N649" s="89"/>
      <c r="O649" s="47" t="str">
        <f t="shared" ca="1" si="76"/>
        <v>1DAC</v>
      </c>
    </row>
    <row r="650" spans="2:15">
      <c r="B650" s="48">
        <f t="shared" ca="1" si="70"/>
        <v>54222</v>
      </c>
      <c r="C650" s="49">
        <f ca="1">BitXOR(B650, $V$16)</f>
        <v>55242</v>
      </c>
      <c r="D650" s="64">
        <f t="shared" ca="1" si="71"/>
        <v>63815</v>
      </c>
      <c r="E650" s="64">
        <f t="shared" ca="1" si="72"/>
        <v>63791</v>
      </c>
      <c r="F650" s="89"/>
      <c r="G650" s="89"/>
      <c r="H650" s="47" t="str">
        <f t="shared" ca="1" si="73"/>
        <v>D3CE</v>
      </c>
      <c r="I650" s="89"/>
      <c r="J650" s="47" t="str">
        <f t="shared" ca="1" si="74"/>
        <v>D7CA</v>
      </c>
      <c r="K650" s="89"/>
      <c r="L650" s="89"/>
      <c r="M650" s="47" t="str">
        <f t="shared" ca="1" si="75"/>
        <v>F947</v>
      </c>
      <c r="N650" s="89"/>
      <c r="O650" s="47" t="str">
        <f t="shared" ca="1" si="76"/>
        <v>F92F</v>
      </c>
    </row>
    <row r="651" spans="2:15">
      <c r="B651" s="48">
        <f t="shared" ca="1" si="70"/>
        <v>50792</v>
      </c>
      <c r="C651" s="49">
        <f ca="1">BitXOR(B651, $V$16)</f>
        <v>49772</v>
      </c>
      <c r="D651" s="64">
        <f t="shared" ca="1" si="71"/>
        <v>42112</v>
      </c>
      <c r="E651" s="64">
        <f t="shared" ca="1" si="72"/>
        <v>16470</v>
      </c>
      <c r="F651" s="89"/>
      <c r="G651" s="89"/>
      <c r="H651" s="47" t="str">
        <f t="shared" ca="1" si="73"/>
        <v>C668</v>
      </c>
      <c r="I651" s="89"/>
      <c r="J651" s="47" t="str">
        <f t="shared" ca="1" si="74"/>
        <v>C26C</v>
      </c>
      <c r="K651" s="89"/>
      <c r="L651" s="89"/>
      <c r="M651" s="47" t="str">
        <f t="shared" ca="1" si="75"/>
        <v>A480</v>
      </c>
      <c r="N651" s="89"/>
      <c r="O651" s="47" t="str">
        <f t="shared" ca="1" si="76"/>
        <v>4056</v>
      </c>
    </row>
    <row r="652" spans="2:15">
      <c r="B652" s="48">
        <f t="shared" ca="1" si="70"/>
        <v>11563</v>
      </c>
      <c r="C652" s="49">
        <f ca="1">BitXOR(B652, $V$16)</f>
        <v>10543</v>
      </c>
      <c r="D652" s="64">
        <f t="shared" ca="1" si="71"/>
        <v>37409</v>
      </c>
      <c r="E652" s="64">
        <f t="shared" ca="1" si="72"/>
        <v>53458</v>
      </c>
      <c r="F652" s="89"/>
      <c r="G652" s="89"/>
      <c r="H652" s="47" t="str">
        <f t="shared" ca="1" si="73"/>
        <v>2D2B</v>
      </c>
      <c r="I652" s="89"/>
      <c r="J652" s="47" t="str">
        <f t="shared" ca="1" si="74"/>
        <v>292F</v>
      </c>
      <c r="K652" s="89"/>
      <c r="L652" s="89"/>
      <c r="M652" s="47" t="str">
        <f t="shared" ca="1" si="75"/>
        <v>9221</v>
      </c>
      <c r="N652" s="89"/>
      <c r="O652" s="47" t="str">
        <f t="shared" ca="1" si="76"/>
        <v>D0D2</v>
      </c>
    </row>
    <row r="653" spans="2:15">
      <c r="B653" s="48">
        <f t="shared" ca="1" si="70"/>
        <v>58652</v>
      </c>
      <c r="C653" s="49">
        <f ca="1">BitXOR(B653, $V$16)</f>
        <v>57624</v>
      </c>
      <c r="D653" s="64">
        <f t="shared" ca="1" si="71"/>
        <v>25190</v>
      </c>
      <c r="E653" s="64">
        <f t="shared" ca="1" si="72"/>
        <v>22862</v>
      </c>
      <c r="F653" s="89"/>
      <c r="G653" s="89"/>
      <c r="H653" s="47" t="str">
        <f t="shared" ca="1" si="73"/>
        <v>E51C</v>
      </c>
      <c r="I653" s="89"/>
      <c r="J653" s="47" t="str">
        <f t="shared" ca="1" si="74"/>
        <v>E118</v>
      </c>
      <c r="K653" s="89"/>
      <c r="L653" s="89"/>
      <c r="M653" s="47" t="str">
        <f t="shared" ca="1" si="75"/>
        <v>6266</v>
      </c>
      <c r="N653" s="89"/>
      <c r="O653" s="47" t="str">
        <f t="shared" ca="1" si="76"/>
        <v>594E</v>
      </c>
    </row>
    <row r="654" spans="2:15">
      <c r="B654" s="48">
        <f t="shared" ca="1" si="70"/>
        <v>28274</v>
      </c>
      <c r="C654" s="49">
        <f ca="1">BitXOR(B654, $V$16)</f>
        <v>27254</v>
      </c>
      <c r="D654" s="64">
        <f t="shared" ca="1" si="71"/>
        <v>39950</v>
      </c>
      <c r="E654" s="64">
        <f t="shared" ca="1" si="72"/>
        <v>47323</v>
      </c>
      <c r="F654" s="89"/>
      <c r="G654" s="89"/>
      <c r="H654" s="47" t="str">
        <f t="shared" ca="1" si="73"/>
        <v>6E72</v>
      </c>
      <c r="I654" s="89"/>
      <c r="J654" s="47" t="str">
        <f t="shared" ca="1" si="74"/>
        <v>6A76</v>
      </c>
      <c r="K654" s="89"/>
      <c r="L654" s="89"/>
      <c r="M654" s="47" t="str">
        <f t="shared" ca="1" si="75"/>
        <v>9C0E</v>
      </c>
      <c r="N654" s="89"/>
      <c r="O654" s="47" t="str">
        <f t="shared" ca="1" si="76"/>
        <v>B8DB</v>
      </c>
    </row>
    <row r="655" spans="2:15">
      <c r="B655" s="48">
        <f t="shared" ca="1" si="70"/>
        <v>38682</v>
      </c>
      <c r="C655" s="49">
        <f ca="1">BitXOR(B655, $V$16)</f>
        <v>37662</v>
      </c>
      <c r="D655" s="64">
        <f t="shared" ca="1" si="71"/>
        <v>30475</v>
      </c>
      <c r="E655" s="64">
        <f t="shared" ca="1" si="72"/>
        <v>51257</v>
      </c>
      <c r="F655" s="89"/>
      <c r="G655" s="89"/>
      <c r="H655" s="47" t="str">
        <f t="shared" ca="1" si="73"/>
        <v>971A</v>
      </c>
      <c r="I655" s="89"/>
      <c r="J655" s="47" t="str">
        <f t="shared" ca="1" si="74"/>
        <v>931E</v>
      </c>
      <c r="K655" s="89"/>
      <c r="L655" s="89"/>
      <c r="M655" s="47" t="str">
        <f t="shared" ca="1" si="75"/>
        <v>770B</v>
      </c>
      <c r="N655" s="89"/>
      <c r="O655" s="47" t="str">
        <f t="shared" ca="1" si="76"/>
        <v>C839</v>
      </c>
    </row>
    <row r="656" spans="2:15">
      <c r="B656" s="48">
        <f t="shared" ca="1" si="70"/>
        <v>27311</v>
      </c>
      <c r="C656" s="49">
        <f ca="1">BitXOR(B656, $V$16)</f>
        <v>28331</v>
      </c>
      <c r="D656" s="64">
        <f t="shared" ca="1" si="71"/>
        <v>39112</v>
      </c>
      <c r="E656" s="64">
        <f t="shared" ca="1" si="72"/>
        <v>17400</v>
      </c>
      <c r="F656" s="89"/>
      <c r="G656" s="89"/>
      <c r="H656" s="47" t="str">
        <f t="shared" ca="1" si="73"/>
        <v>6AAF</v>
      </c>
      <c r="I656" s="89"/>
      <c r="J656" s="47" t="str">
        <f t="shared" ca="1" si="74"/>
        <v>6EAB</v>
      </c>
      <c r="K656" s="89"/>
      <c r="L656" s="89"/>
      <c r="M656" s="47" t="str">
        <f t="shared" ca="1" si="75"/>
        <v>98C8</v>
      </c>
      <c r="N656" s="89"/>
      <c r="O656" s="47" t="str">
        <f t="shared" ca="1" si="76"/>
        <v>43F8</v>
      </c>
    </row>
    <row r="657" spans="2:15">
      <c r="B657" s="48">
        <f t="shared" ca="1" si="70"/>
        <v>52208</v>
      </c>
      <c r="C657" s="49">
        <f ca="1">BitXOR(B657, $V$16)</f>
        <v>53236</v>
      </c>
      <c r="D657" s="64">
        <f t="shared" ca="1" si="71"/>
        <v>62381</v>
      </c>
      <c r="E657" s="64">
        <f t="shared" ca="1" si="72"/>
        <v>37855</v>
      </c>
      <c r="F657" s="89"/>
      <c r="G657" s="89"/>
      <c r="H657" s="47" t="str">
        <f t="shared" ca="1" si="73"/>
        <v>CBF0</v>
      </c>
      <c r="I657" s="89"/>
      <c r="J657" s="47" t="str">
        <f t="shared" ca="1" si="74"/>
        <v>CFF4</v>
      </c>
      <c r="K657" s="89"/>
      <c r="L657" s="89"/>
      <c r="M657" s="47" t="str">
        <f t="shared" ca="1" si="75"/>
        <v>F3AD</v>
      </c>
      <c r="N657" s="89"/>
      <c r="O657" s="47" t="str">
        <f t="shared" ca="1" si="76"/>
        <v>93DF</v>
      </c>
    </row>
    <row r="658" spans="2:15">
      <c r="B658" s="48">
        <f t="shared" ca="1" si="70"/>
        <v>7945</v>
      </c>
      <c r="C658" s="49">
        <f ca="1">BitXOR(B658, $V$16)</f>
        <v>6925</v>
      </c>
      <c r="D658" s="64">
        <f t="shared" ca="1" si="71"/>
        <v>36160</v>
      </c>
      <c r="E658" s="64">
        <f t="shared" ca="1" si="72"/>
        <v>21158</v>
      </c>
      <c r="F658" s="89"/>
      <c r="G658" s="89"/>
      <c r="H658" s="47" t="str">
        <f t="shared" ca="1" si="73"/>
        <v>1F09</v>
      </c>
      <c r="I658" s="89"/>
      <c r="J658" s="47" t="str">
        <f t="shared" ca="1" si="74"/>
        <v>1B0D</v>
      </c>
      <c r="K658" s="89"/>
      <c r="L658" s="89"/>
      <c r="M658" s="47" t="str">
        <f t="shared" ca="1" si="75"/>
        <v>8D40</v>
      </c>
      <c r="N658" s="89"/>
      <c r="O658" s="47" t="str">
        <f t="shared" ca="1" si="76"/>
        <v>52A6</v>
      </c>
    </row>
    <row r="659" spans="2:15">
      <c r="B659" s="48">
        <f t="shared" ca="1" si="70"/>
        <v>26299</v>
      </c>
      <c r="C659" s="49">
        <f ca="1">BitXOR(B659, $V$16)</f>
        <v>25279</v>
      </c>
      <c r="D659" s="64">
        <f t="shared" ca="1" si="71"/>
        <v>53958</v>
      </c>
      <c r="E659" s="64">
        <f t="shared" ca="1" si="72"/>
        <v>6193</v>
      </c>
      <c r="F659" s="89"/>
      <c r="G659" s="89"/>
      <c r="H659" s="47" t="str">
        <f t="shared" ca="1" si="73"/>
        <v>66BB</v>
      </c>
      <c r="I659" s="89"/>
      <c r="J659" s="47" t="str">
        <f t="shared" ca="1" si="74"/>
        <v>62BF</v>
      </c>
      <c r="K659" s="89"/>
      <c r="L659" s="89"/>
      <c r="M659" s="47" t="str">
        <f t="shared" ca="1" si="75"/>
        <v>D2C6</v>
      </c>
      <c r="N659" s="89"/>
      <c r="O659" s="47" t="str">
        <f t="shared" ca="1" si="76"/>
        <v>1831</v>
      </c>
    </row>
    <row r="660" spans="2:15">
      <c r="B660" s="48">
        <f t="shared" ca="1" si="70"/>
        <v>30939</v>
      </c>
      <c r="C660" s="49">
        <f ca="1">BitXOR(B660, $V$16)</f>
        <v>31967</v>
      </c>
      <c r="D660" s="64">
        <f t="shared" ca="1" si="71"/>
        <v>38209</v>
      </c>
      <c r="E660" s="64">
        <f t="shared" ca="1" si="72"/>
        <v>60506</v>
      </c>
      <c r="F660" s="89"/>
      <c r="G660" s="89"/>
      <c r="H660" s="47" t="str">
        <f t="shared" ca="1" si="73"/>
        <v>78DB</v>
      </c>
      <c r="I660" s="89"/>
      <c r="J660" s="47" t="str">
        <f t="shared" ca="1" si="74"/>
        <v>7CDF</v>
      </c>
      <c r="K660" s="89"/>
      <c r="L660" s="89"/>
      <c r="M660" s="47" t="str">
        <f t="shared" ca="1" si="75"/>
        <v>9541</v>
      </c>
      <c r="N660" s="89"/>
      <c r="O660" s="47" t="str">
        <f t="shared" ca="1" si="76"/>
        <v>EC5A</v>
      </c>
    </row>
    <row r="661" spans="2:15">
      <c r="B661" s="48">
        <f t="shared" ca="1" si="70"/>
        <v>30342</v>
      </c>
      <c r="C661" s="49">
        <f ca="1">BitXOR(B661, $V$16)</f>
        <v>29314</v>
      </c>
      <c r="D661" s="64">
        <f t="shared" ca="1" si="71"/>
        <v>11045</v>
      </c>
      <c r="E661" s="64">
        <f t="shared" ca="1" si="72"/>
        <v>18062</v>
      </c>
      <c r="F661" s="89"/>
      <c r="G661" s="89"/>
      <c r="H661" s="47" t="str">
        <f t="shared" ca="1" si="73"/>
        <v>7686</v>
      </c>
      <c r="I661" s="89"/>
      <c r="J661" s="47" t="str">
        <f t="shared" ca="1" si="74"/>
        <v>7282</v>
      </c>
      <c r="K661" s="89"/>
      <c r="L661" s="89"/>
      <c r="M661" s="47" t="str">
        <f t="shared" ca="1" si="75"/>
        <v>2B25</v>
      </c>
      <c r="N661" s="89"/>
      <c r="O661" s="47" t="str">
        <f t="shared" ca="1" si="76"/>
        <v>468E</v>
      </c>
    </row>
    <row r="662" spans="2:15">
      <c r="B662" s="48">
        <f t="shared" ca="1" si="70"/>
        <v>25364</v>
      </c>
      <c r="C662" s="49">
        <f ca="1">BitXOR(B662, $V$16)</f>
        <v>26384</v>
      </c>
      <c r="D662" s="64">
        <f t="shared" ca="1" si="71"/>
        <v>26987</v>
      </c>
      <c r="E662" s="64">
        <f t="shared" ca="1" si="72"/>
        <v>5323</v>
      </c>
      <c r="F662" s="89"/>
      <c r="G662" s="89"/>
      <c r="H662" s="47" t="str">
        <f t="shared" ca="1" si="73"/>
        <v>6314</v>
      </c>
      <c r="I662" s="89"/>
      <c r="J662" s="47" t="str">
        <f t="shared" ca="1" si="74"/>
        <v>6710</v>
      </c>
      <c r="K662" s="89"/>
      <c r="L662" s="89"/>
      <c r="M662" s="47" t="str">
        <f t="shared" ca="1" si="75"/>
        <v>696B</v>
      </c>
      <c r="N662" s="89"/>
      <c r="O662" s="47" t="str">
        <f t="shared" ca="1" si="76"/>
        <v>14CB</v>
      </c>
    </row>
    <row r="663" spans="2:15">
      <c r="B663" s="48">
        <f t="shared" ref="B663:B726" ca="1" si="77">RANDBETWEEN(1,2^16-1)</f>
        <v>36508</v>
      </c>
      <c r="C663" s="49">
        <f ca="1">BitXOR(B663, $V$16)</f>
        <v>35480</v>
      </c>
      <c r="D663" s="64">
        <f t="shared" ca="1" si="71"/>
        <v>17336</v>
      </c>
      <c r="E663" s="64">
        <f t="shared" ca="1" si="72"/>
        <v>16121</v>
      </c>
      <c r="F663" s="89"/>
      <c r="G663" s="89"/>
      <c r="H663" s="47" t="str">
        <f t="shared" ca="1" si="73"/>
        <v>8E9C</v>
      </c>
      <c r="I663" s="89"/>
      <c r="J663" s="47" t="str">
        <f t="shared" ca="1" si="74"/>
        <v>8A98</v>
      </c>
      <c r="K663" s="89"/>
      <c r="L663" s="89"/>
      <c r="M663" s="47" t="str">
        <f t="shared" ca="1" si="75"/>
        <v>43B8</v>
      </c>
      <c r="N663" s="89"/>
      <c r="O663" s="47" t="str">
        <f t="shared" ca="1" si="76"/>
        <v>3EF9</v>
      </c>
    </row>
    <row r="664" spans="2:15">
      <c r="B664" s="48">
        <f t="shared" ca="1" si="77"/>
        <v>16634</v>
      </c>
      <c r="C664" s="49">
        <f ca="1">BitXOR(B664, $V$16)</f>
        <v>17662</v>
      </c>
      <c r="D664" s="64">
        <f t="shared" ca="1" si="71"/>
        <v>53188</v>
      </c>
      <c r="E664" s="64">
        <f t="shared" ca="1" si="72"/>
        <v>53004</v>
      </c>
      <c r="F664" s="89"/>
      <c r="G664" s="89"/>
      <c r="H664" s="47" t="str">
        <f t="shared" ca="1" si="73"/>
        <v>40FA</v>
      </c>
      <c r="I664" s="89"/>
      <c r="J664" s="47" t="str">
        <f t="shared" ca="1" si="74"/>
        <v>44FE</v>
      </c>
      <c r="K664" s="89"/>
      <c r="L664" s="89"/>
      <c r="M664" s="47" t="str">
        <f t="shared" ca="1" si="75"/>
        <v>CFC4</v>
      </c>
      <c r="N664" s="89"/>
      <c r="O664" s="47" t="str">
        <f t="shared" ca="1" si="76"/>
        <v>CF0C</v>
      </c>
    </row>
    <row r="665" spans="2:15">
      <c r="B665" s="48">
        <f t="shared" ca="1" si="77"/>
        <v>10862</v>
      </c>
      <c r="C665" s="49">
        <f ca="1">BitXOR(B665, $V$16)</f>
        <v>11882</v>
      </c>
      <c r="D665" s="64">
        <f t="shared" ca="1" si="71"/>
        <v>57348</v>
      </c>
      <c r="E665" s="64">
        <f t="shared" ca="1" si="72"/>
        <v>49536</v>
      </c>
      <c r="F665" s="89"/>
      <c r="G665" s="89"/>
      <c r="H665" s="47" t="str">
        <f t="shared" ca="1" si="73"/>
        <v>2A6E</v>
      </c>
      <c r="I665" s="89"/>
      <c r="J665" s="47" t="str">
        <f t="shared" ca="1" si="74"/>
        <v>2E6A</v>
      </c>
      <c r="K665" s="89"/>
      <c r="L665" s="89"/>
      <c r="M665" s="47" t="str">
        <f t="shared" ca="1" si="75"/>
        <v>E004</v>
      </c>
      <c r="N665" s="89"/>
      <c r="O665" s="47" t="str">
        <f t="shared" ca="1" si="76"/>
        <v>C180</v>
      </c>
    </row>
    <row r="666" spans="2:15">
      <c r="B666" s="48">
        <f t="shared" ca="1" si="77"/>
        <v>37357</v>
      </c>
      <c r="C666" s="49">
        <f ca="1">BitXOR(B666, $V$16)</f>
        <v>38377</v>
      </c>
      <c r="D666" s="64">
        <f t="shared" ca="1" si="71"/>
        <v>984</v>
      </c>
      <c r="E666" s="64">
        <f t="shared" ca="1" si="72"/>
        <v>23707</v>
      </c>
      <c r="F666" s="89"/>
      <c r="G666" s="89"/>
      <c r="H666" s="47" t="str">
        <f t="shared" ca="1" si="73"/>
        <v>91ED</v>
      </c>
      <c r="I666" s="89"/>
      <c r="J666" s="47" t="str">
        <f t="shared" ca="1" si="74"/>
        <v>95E9</v>
      </c>
      <c r="K666" s="89"/>
      <c r="L666" s="89"/>
      <c r="M666" s="47" t="str">
        <f t="shared" ca="1" si="75"/>
        <v>03D8</v>
      </c>
      <c r="N666" s="89"/>
      <c r="O666" s="47" t="str">
        <f t="shared" ca="1" si="76"/>
        <v>5C9B</v>
      </c>
    </row>
    <row r="667" spans="2:15">
      <c r="B667" s="48">
        <f t="shared" ca="1" si="77"/>
        <v>11275</v>
      </c>
      <c r="C667" s="49">
        <f ca="1">BitXOR(B667, $V$16)</f>
        <v>10255</v>
      </c>
      <c r="D667" s="64">
        <f t="shared" ca="1" si="71"/>
        <v>56896</v>
      </c>
      <c r="E667" s="64">
        <f t="shared" ca="1" si="72"/>
        <v>32480</v>
      </c>
      <c r="F667" s="89"/>
      <c r="G667" s="89"/>
      <c r="H667" s="47" t="str">
        <f t="shared" ca="1" si="73"/>
        <v>2C0B</v>
      </c>
      <c r="I667" s="89"/>
      <c r="J667" s="47" t="str">
        <f t="shared" ca="1" si="74"/>
        <v>280F</v>
      </c>
      <c r="K667" s="89"/>
      <c r="L667" s="89"/>
      <c r="M667" s="47" t="str">
        <f t="shared" ca="1" si="75"/>
        <v>DE40</v>
      </c>
      <c r="N667" s="89"/>
      <c r="O667" s="47" t="str">
        <f t="shared" ca="1" si="76"/>
        <v>7EE0</v>
      </c>
    </row>
    <row r="668" spans="2:15">
      <c r="B668" s="48">
        <f t="shared" ca="1" si="77"/>
        <v>53657</v>
      </c>
      <c r="C668" s="49">
        <f ca="1">BitXOR(B668, $V$16)</f>
        <v>54685</v>
      </c>
      <c r="D668" s="64">
        <f t="shared" ca="1" si="71"/>
        <v>19633</v>
      </c>
      <c r="E668" s="64">
        <f t="shared" ca="1" si="72"/>
        <v>12353</v>
      </c>
      <c r="F668" s="89"/>
      <c r="G668" s="89"/>
      <c r="H668" s="47" t="str">
        <f t="shared" ca="1" si="73"/>
        <v>D199</v>
      </c>
      <c r="I668" s="89"/>
      <c r="J668" s="47" t="str">
        <f t="shared" ca="1" si="74"/>
        <v>D59D</v>
      </c>
      <c r="K668" s="89"/>
      <c r="L668" s="89"/>
      <c r="M668" s="47" t="str">
        <f t="shared" ca="1" si="75"/>
        <v>4CB1</v>
      </c>
      <c r="N668" s="89"/>
      <c r="O668" s="47" t="str">
        <f t="shared" ca="1" si="76"/>
        <v>3041</v>
      </c>
    </row>
    <row r="669" spans="2:15">
      <c r="B669" s="48">
        <f t="shared" ca="1" si="77"/>
        <v>11017</v>
      </c>
      <c r="C669" s="49">
        <f ca="1">BitXOR(B669, $V$16)</f>
        <v>12045</v>
      </c>
      <c r="D669" s="64">
        <f t="shared" ca="1" si="71"/>
        <v>40278</v>
      </c>
      <c r="E669" s="64">
        <f t="shared" ca="1" si="72"/>
        <v>55376</v>
      </c>
      <c r="F669" s="89"/>
      <c r="G669" s="89"/>
      <c r="H669" s="47" t="str">
        <f t="shared" ca="1" si="73"/>
        <v>2B09</v>
      </c>
      <c r="I669" s="89"/>
      <c r="J669" s="47" t="str">
        <f t="shared" ca="1" si="74"/>
        <v>2F0D</v>
      </c>
      <c r="K669" s="89"/>
      <c r="L669" s="89"/>
      <c r="M669" s="47" t="str">
        <f t="shared" ca="1" si="75"/>
        <v>9D56</v>
      </c>
      <c r="N669" s="89"/>
      <c r="O669" s="47" t="str">
        <f t="shared" ca="1" si="76"/>
        <v>D850</v>
      </c>
    </row>
    <row r="670" spans="2:15">
      <c r="B670" s="48">
        <f t="shared" ca="1" si="77"/>
        <v>26405</v>
      </c>
      <c r="C670" s="49">
        <f ca="1">BitXOR(B670, $V$16)</f>
        <v>25377</v>
      </c>
      <c r="D670" s="64">
        <f t="shared" ca="1" si="71"/>
        <v>39115</v>
      </c>
      <c r="E670" s="64">
        <f t="shared" ca="1" si="72"/>
        <v>43381</v>
      </c>
      <c r="F670" s="89"/>
      <c r="G670" s="89"/>
      <c r="H670" s="47" t="str">
        <f t="shared" ca="1" si="73"/>
        <v>6725</v>
      </c>
      <c r="I670" s="89"/>
      <c r="J670" s="47" t="str">
        <f t="shared" ca="1" si="74"/>
        <v>6321</v>
      </c>
      <c r="K670" s="89"/>
      <c r="L670" s="89"/>
      <c r="M670" s="47" t="str">
        <f t="shared" ca="1" si="75"/>
        <v>98CB</v>
      </c>
      <c r="N670" s="89"/>
      <c r="O670" s="47" t="str">
        <f t="shared" ca="1" si="76"/>
        <v>A975</v>
      </c>
    </row>
    <row r="671" spans="2:15">
      <c r="B671" s="48">
        <f t="shared" ca="1" si="77"/>
        <v>25503</v>
      </c>
      <c r="C671" s="49">
        <f ca="1">BitXOR(B671, $V$16)</f>
        <v>26523</v>
      </c>
      <c r="D671" s="64">
        <f t="shared" ca="1" si="71"/>
        <v>28433</v>
      </c>
      <c r="E671" s="64">
        <f t="shared" ca="1" si="72"/>
        <v>12869</v>
      </c>
      <c r="F671" s="89"/>
      <c r="G671" s="89"/>
      <c r="H671" s="47" t="str">
        <f t="shared" ca="1" si="73"/>
        <v>639F</v>
      </c>
      <c r="I671" s="89"/>
      <c r="J671" s="47" t="str">
        <f t="shared" ca="1" si="74"/>
        <v>679B</v>
      </c>
      <c r="K671" s="89"/>
      <c r="L671" s="89"/>
      <c r="M671" s="47" t="str">
        <f t="shared" ca="1" si="75"/>
        <v>6F11</v>
      </c>
      <c r="N671" s="89"/>
      <c r="O671" s="47" t="str">
        <f t="shared" ca="1" si="76"/>
        <v>3245</v>
      </c>
    </row>
    <row r="672" spans="2:15">
      <c r="B672" s="48">
        <f t="shared" ca="1" si="77"/>
        <v>61042</v>
      </c>
      <c r="C672" s="49">
        <f ca="1">BitXOR(B672, $V$16)</f>
        <v>60022</v>
      </c>
      <c r="D672" s="64">
        <f t="shared" ca="1" si="71"/>
        <v>56818</v>
      </c>
      <c r="E672" s="64">
        <f t="shared" ca="1" si="72"/>
        <v>16765</v>
      </c>
      <c r="F672" s="89"/>
      <c r="G672" s="89"/>
      <c r="H672" s="47" t="str">
        <f t="shared" ca="1" si="73"/>
        <v>EE72</v>
      </c>
      <c r="I672" s="89"/>
      <c r="J672" s="47" t="str">
        <f t="shared" ca="1" si="74"/>
        <v>EA76</v>
      </c>
      <c r="K672" s="89"/>
      <c r="L672" s="89"/>
      <c r="M672" s="47" t="str">
        <f t="shared" ca="1" si="75"/>
        <v>DDF2</v>
      </c>
      <c r="N672" s="89"/>
      <c r="O672" s="47" t="str">
        <f t="shared" ca="1" si="76"/>
        <v>417D</v>
      </c>
    </row>
    <row r="673" spans="2:15">
      <c r="B673" s="48">
        <f t="shared" ca="1" si="77"/>
        <v>11182</v>
      </c>
      <c r="C673" s="49">
        <f ca="1">BitXOR(B673, $V$16)</f>
        <v>12202</v>
      </c>
      <c r="D673" s="64">
        <f t="shared" ca="1" si="71"/>
        <v>28674</v>
      </c>
      <c r="E673" s="64">
        <f t="shared" ca="1" si="72"/>
        <v>38829</v>
      </c>
      <c r="F673" s="89"/>
      <c r="G673" s="89"/>
      <c r="H673" s="47" t="str">
        <f t="shared" ca="1" si="73"/>
        <v>2BAE</v>
      </c>
      <c r="I673" s="89"/>
      <c r="J673" s="47" t="str">
        <f t="shared" ca="1" si="74"/>
        <v>2FAA</v>
      </c>
      <c r="K673" s="89"/>
      <c r="L673" s="89"/>
      <c r="M673" s="47" t="str">
        <f t="shared" ca="1" si="75"/>
        <v>7002</v>
      </c>
      <c r="N673" s="89"/>
      <c r="O673" s="47" t="str">
        <f t="shared" ca="1" si="76"/>
        <v>97AD</v>
      </c>
    </row>
    <row r="674" spans="2:15">
      <c r="B674" s="48">
        <f t="shared" ca="1" si="77"/>
        <v>477</v>
      </c>
      <c r="C674" s="49">
        <f ca="1">BitXOR(B674, $V$16)</f>
        <v>1497</v>
      </c>
      <c r="D674" s="64">
        <f t="shared" ca="1" si="71"/>
        <v>23082</v>
      </c>
      <c r="E674" s="64">
        <f t="shared" ca="1" si="72"/>
        <v>35597</v>
      </c>
      <c r="F674" s="89"/>
      <c r="G674" s="89"/>
      <c r="H674" s="47" t="str">
        <f t="shared" ca="1" si="73"/>
        <v>01DD</v>
      </c>
      <c r="I674" s="89"/>
      <c r="J674" s="47" t="str">
        <f t="shared" ca="1" si="74"/>
        <v>05D9</v>
      </c>
      <c r="K674" s="89"/>
      <c r="L674" s="89"/>
      <c r="M674" s="47" t="str">
        <f t="shared" ca="1" si="75"/>
        <v>5A2A</v>
      </c>
      <c r="N674" s="89"/>
      <c r="O674" s="47" t="str">
        <f t="shared" ca="1" si="76"/>
        <v>8B0D</v>
      </c>
    </row>
    <row r="675" spans="2:15">
      <c r="B675" s="48">
        <f t="shared" ca="1" si="77"/>
        <v>48181</v>
      </c>
      <c r="C675" s="49">
        <f ca="1">BitXOR(B675, $V$16)</f>
        <v>47153</v>
      </c>
      <c r="D675" s="64">
        <f t="shared" ca="1" si="71"/>
        <v>57241</v>
      </c>
      <c r="E675" s="64">
        <f t="shared" ca="1" si="72"/>
        <v>56575</v>
      </c>
      <c r="F675" s="89"/>
      <c r="G675" s="89"/>
      <c r="H675" s="47" t="str">
        <f t="shared" ca="1" si="73"/>
        <v>BC35</v>
      </c>
      <c r="I675" s="89"/>
      <c r="J675" s="47" t="str">
        <f t="shared" ca="1" si="74"/>
        <v>B831</v>
      </c>
      <c r="K675" s="89"/>
      <c r="L675" s="89"/>
      <c r="M675" s="47" t="str">
        <f t="shared" ca="1" si="75"/>
        <v>DF99</v>
      </c>
      <c r="N675" s="89"/>
      <c r="O675" s="47" t="str">
        <f t="shared" ca="1" si="76"/>
        <v>DCFF</v>
      </c>
    </row>
    <row r="676" spans="2:15">
      <c r="B676" s="48">
        <f t="shared" ca="1" si="77"/>
        <v>25577</v>
      </c>
      <c r="C676" s="49">
        <f ca="1">BitXOR(B676, $V$16)</f>
        <v>26605</v>
      </c>
      <c r="D676" s="64">
        <f t="shared" ca="1" si="71"/>
        <v>21585</v>
      </c>
      <c r="E676" s="64">
        <f t="shared" ca="1" si="72"/>
        <v>15621</v>
      </c>
      <c r="F676" s="89"/>
      <c r="G676" s="89"/>
      <c r="H676" s="47" t="str">
        <f t="shared" ca="1" si="73"/>
        <v>63E9</v>
      </c>
      <c r="I676" s="89"/>
      <c r="J676" s="47" t="str">
        <f t="shared" ca="1" si="74"/>
        <v>67ED</v>
      </c>
      <c r="K676" s="89"/>
      <c r="L676" s="89"/>
      <c r="M676" s="47" t="str">
        <f t="shared" ca="1" si="75"/>
        <v>5451</v>
      </c>
      <c r="N676" s="89"/>
      <c r="O676" s="47" t="str">
        <f t="shared" ca="1" si="76"/>
        <v>3D05</v>
      </c>
    </row>
    <row r="677" spans="2:15">
      <c r="B677" s="48">
        <f t="shared" ca="1" si="77"/>
        <v>49564</v>
      </c>
      <c r="C677" s="49">
        <f ca="1">BitXOR(B677, $V$16)</f>
        <v>50584</v>
      </c>
      <c r="D677" s="64">
        <f t="shared" ref="D677:D740" ca="1" si="78">Encrypt(B677, $D$2:$S$3, $D$6:$S$7, $V$10,$V$11,$V$12,$W$10,$W$11)</f>
        <v>529</v>
      </c>
      <c r="E677" s="64">
        <f t="shared" ref="E677:E740" ca="1" si="79">Encrypt(C677, $D$2:$S$3, $D$6:$S$7, $V$10,$V$11,$V$12,$W$10,$W$11)</f>
        <v>28607</v>
      </c>
      <c r="F677" s="89"/>
      <c r="G677" s="89"/>
      <c r="H677" s="47" t="str">
        <f t="shared" ref="H677:H740" ca="1" si="80">DEC2HEX(B677,4)</f>
        <v>C19C</v>
      </c>
      <c r="I677" s="89"/>
      <c r="J677" s="47" t="str">
        <f t="shared" ref="J677:J740" ca="1" si="81">DEC2HEX(C677,4)</f>
        <v>C598</v>
      </c>
      <c r="K677" s="89"/>
      <c r="L677" s="89"/>
      <c r="M677" s="47" t="str">
        <f t="shared" ref="M677:M740" ca="1" si="82">DEC2HEX(D677,4)</f>
        <v>0211</v>
      </c>
      <c r="N677" s="89"/>
      <c r="O677" s="47" t="str">
        <f t="shared" ref="O677:O740" ca="1" si="83">DEC2HEX(E677,4)</f>
        <v>6FBF</v>
      </c>
    </row>
    <row r="678" spans="2:15">
      <c r="B678" s="48">
        <f t="shared" ca="1" si="77"/>
        <v>13808</v>
      </c>
      <c r="C678" s="49">
        <f ca="1">BitXOR(B678, $V$16)</f>
        <v>12788</v>
      </c>
      <c r="D678" s="64">
        <f t="shared" ca="1" si="78"/>
        <v>53651</v>
      </c>
      <c r="E678" s="64">
        <f t="shared" ca="1" si="79"/>
        <v>43747</v>
      </c>
      <c r="F678" s="89"/>
      <c r="G678" s="89"/>
      <c r="H678" s="47" t="str">
        <f t="shared" ca="1" si="80"/>
        <v>35F0</v>
      </c>
      <c r="I678" s="89"/>
      <c r="J678" s="47" t="str">
        <f t="shared" ca="1" si="81"/>
        <v>31F4</v>
      </c>
      <c r="K678" s="89"/>
      <c r="L678" s="89"/>
      <c r="M678" s="47" t="str">
        <f t="shared" ca="1" si="82"/>
        <v>D193</v>
      </c>
      <c r="N678" s="89"/>
      <c r="O678" s="47" t="str">
        <f t="shared" ca="1" si="83"/>
        <v>AAE3</v>
      </c>
    </row>
    <row r="679" spans="2:15">
      <c r="B679" s="48">
        <f t="shared" ca="1" si="77"/>
        <v>14603</v>
      </c>
      <c r="C679" s="49">
        <f ca="1">BitXOR(B679, $V$16)</f>
        <v>15631</v>
      </c>
      <c r="D679" s="64">
        <f t="shared" ca="1" si="78"/>
        <v>60864</v>
      </c>
      <c r="E679" s="64">
        <f t="shared" ca="1" si="79"/>
        <v>60284</v>
      </c>
      <c r="F679" s="89"/>
      <c r="G679" s="89"/>
      <c r="H679" s="47" t="str">
        <f t="shared" ca="1" si="80"/>
        <v>390B</v>
      </c>
      <c r="I679" s="89"/>
      <c r="J679" s="47" t="str">
        <f t="shared" ca="1" si="81"/>
        <v>3D0F</v>
      </c>
      <c r="K679" s="89"/>
      <c r="L679" s="89"/>
      <c r="M679" s="47" t="str">
        <f t="shared" ca="1" si="82"/>
        <v>EDC0</v>
      </c>
      <c r="N679" s="89"/>
      <c r="O679" s="47" t="str">
        <f t="shared" ca="1" si="83"/>
        <v>EB7C</v>
      </c>
    </row>
    <row r="680" spans="2:15">
      <c r="B680" s="48">
        <f t="shared" ca="1" si="77"/>
        <v>19110</v>
      </c>
      <c r="C680" s="49">
        <f ca="1">BitXOR(B680, $V$16)</f>
        <v>20130</v>
      </c>
      <c r="D680" s="64">
        <f t="shared" ca="1" si="78"/>
        <v>17473</v>
      </c>
      <c r="E680" s="64">
        <f t="shared" ca="1" si="79"/>
        <v>40538</v>
      </c>
      <c r="F680" s="89"/>
      <c r="G680" s="89"/>
      <c r="H680" s="47" t="str">
        <f t="shared" ca="1" si="80"/>
        <v>4AA6</v>
      </c>
      <c r="I680" s="89"/>
      <c r="J680" s="47" t="str">
        <f t="shared" ca="1" si="81"/>
        <v>4EA2</v>
      </c>
      <c r="K680" s="89"/>
      <c r="L680" s="89"/>
      <c r="M680" s="47" t="str">
        <f t="shared" ca="1" si="82"/>
        <v>4441</v>
      </c>
      <c r="N680" s="89"/>
      <c r="O680" s="47" t="str">
        <f t="shared" ca="1" si="83"/>
        <v>9E5A</v>
      </c>
    </row>
    <row r="681" spans="2:15">
      <c r="B681" s="48">
        <f t="shared" ca="1" si="77"/>
        <v>29727</v>
      </c>
      <c r="C681" s="49">
        <f ca="1">BitXOR(B681, $V$16)</f>
        <v>28699</v>
      </c>
      <c r="D681" s="64">
        <f t="shared" ca="1" si="78"/>
        <v>58800</v>
      </c>
      <c r="E681" s="64">
        <f t="shared" ca="1" si="79"/>
        <v>59672</v>
      </c>
      <c r="F681" s="89"/>
      <c r="G681" s="89"/>
      <c r="H681" s="47" t="str">
        <f t="shared" ca="1" si="80"/>
        <v>741F</v>
      </c>
      <c r="I681" s="89"/>
      <c r="J681" s="47" t="str">
        <f t="shared" ca="1" si="81"/>
        <v>701B</v>
      </c>
      <c r="K681" s="89"/>
      <c r="L681" s="89"/>
      <c r="M681" s="47" t="str">
        <f t="shared" ca="1" si="82"/>
        <v>E5B0</v>
      </c>
      <c r="N681" s="89"/>
      <c r="O681" s="47" t="str">
        <f t="shared" ca="1" si="83"/>
        <v>E918</v>
      </c>
    </row>
    <row r="682" spans="2:15">
      <c r="B682" s="48">
        <f t="shared" ca="1" si="77"/>
        <v>56522</v>
      </c>
      <c r="C682" s="49">
        <f ca="1">BitXOR(B682, $V$16)</f>
        <v>55502</v>
      </c>
      <c r="D682" s="64">
        <f t="shared" ca="1" si="78"/>
        <v>36425</v>
      </c>
      <c r="E682" s="64">
        <f t="shared" ca="1" si="79"/>
        <v>51783</v>
      </c>
      <c r="F682" s="89"/>
      <c r="G682" s="89"/>
      <c r="H682" s="47" t="str">
        <f t="shared" ca="1" si="80"/>
        <v>DCCA</v>
      </c>
      <c r="I682" s="89"/>
      <c r="J682" s="47" t="str">
        <f t="shared" ca="1" si="81"/>
        <v>D8CE</v>
      </c>
      <c r="K682" s="89"/>
      <c r="L682" s="89"/>
      <c r="M682" s="47" t="str">
        <f t="shared" ca="1" si="82"/>
        <v>8E49</v>
      </c>
      <c r="N682" s="89"/>
      <c r="O682" s="47" t="str">
        <f t="shared" ca="1" si="83"/>
        <v>CA47</v>
      </c>
    </row>
    <row r="683" spans="2:15">
      <c r="B683" s="48">
        <f t="shared" ca="1" si="77"/>
        <v>58025</v>
      </c>
      <c r="C683" s="49">
        <f ca="1">BitXOR(B683, $V$16)</f>
        <v>59053</v>
      </c>
      <c r="D683" s="64">
        <f t="shared" ca="1" si="78"/>
        <v>24045</v>
      </c>
      <c r="E683" s="64">
        <f t="shared" ca="1" si="79"/>
        <v>48584</v>
      </c>
      <c r="F683" s="89"/>
      <c r="G683" s="89"/>
      <c r="H683" s="47" t="str">
        <f t="shared" ca="1" si="80"/>
        <v>E2A9</v>
      </c>
      <c r="I683" s="89"/>
      <c r="J683" s="47" t="str">
        <f t="shared" ca="1" si="81"/>
        <v>E6AD</v>
      </c>
      <c r="K683" s="89"/>
      <c r="L683" s="89"/>
      <c r="M683" s="47" t="str">
        <f t="shared" ca="1" si="82"/>
        <v>5DED</v>
      </c>
      <c r="N683" s="89"/>
      <c r="O683" s="47" t="str">
        <f t="shared" ca="1" si="83"/>
        <v>BDC8</v>
      </c>
    </row>
    <row r="684" spans="2:15">
      <c r="B684" s="48">
        <f t="shared" ca="1" si="77"/>
        <v>22040</v>
      </c>
      <c r="C684" s="49">
        <f ca="1">BitXOR(B684, $V$16)</f>
        <v>21020</v>
      </c>
      <c r="D684" s="64">
        <f t="shared" ca="1" si="78"/>
        <v>42396</v>
      </c>
      <c r="E684" s="64">
        <f t="shared" ca="1" si="79"/>
        <v>17237</v>
      </c>
      <c r="F684" s="89"/>
      <c r="G684" s="89"/>
      <c r="H684" s="47" t="str">
        <f t="shared" ca="1" si="80"/>
        <v>5618</v>
      </c>
      <c r="I684" s="89"/>
      <c r="J684" s="47" t="str">
        <f t="shared" ca="1" si="81"/>
        <v>521C</v>
      </c>
      <c r="K684" s="89"/>
      <c r="L684" s="89"/>
      <c r="M684" s="47" t="str">
        <f t="shared" ca="1" si="82"/>
        <v>A59C</v>
      </c>
      <c r="N684" s="89"/>
      <c r="O684" s="47" t="str">
        <f t="shared" ca="1" si="83"/>
        <v>4355</v>
      </c>
    </row>
    <row r="685" spans="2:15">
      <c r="B685" s="48">
        <f t="shared" ca="1" si="77"/>
        <v>19328</v>
      </c>
      <c r="C685" s="49">
        <f ca="1">BitXOR(B685, $V$16)</f>
        <v>20356</v>
      </c>
      <c r="D685" s="64">
        <f t="shared" ca="1" si="78"/>
        <v>35822</v>
      </c>
      <c r="E685" s="64">
        <f t="shared" ca="1" si="79"/>
        <v>8735</v>
      </c>
      <c r="F685" s="89"/>
      <c r="G685" s="89"/>
      <c r="H685" s="47" t="str">
        <f t="shared" ca="1" si="80"/>
        <v>4B80</v>
      </c>
      <c r="I685" s="89"/>
      <c r="J685" s="47" t="str">
        <f t="shared" ca="1" si="81"/>
        <v>4F84</v>
      </c>
      <c r="K685" s="89"/>
      <c r="L685" s="89"/>
      <c r="M685" s="47" t="str">
        <f t="shared" ca="1" si="82"/>
        <v>8BEE</v>
      </c>
      <c r="N685" s="89"/>
      <c r="O685" s="47" t="str">
        <f t="shared" ca="1" si="83"/>
        <v>221F</v>
      </c>
    </row>
    <row r="686" spans="2:15">
      <c r="B686" s="48">
        <f t="shared" ca="1" si="77"/>
        <v>38884</v>
      </c>
      <c r="C686" s="49">
        <f ca="1">BitXOR(B686, $V$16)</f>
        <v>37856</v>
      </c>
      <c r="D686" s="64">
        <f t="shared" ca="1" si="78"/>
        <v>17829</v>
      </c>
      <c r="E686" s="64">
        <f t="shared" ca="1" si="79"/>
        <v>879</v>
      </c>
      <c r="F686" s="89"/>
      <c r="G686" s="89"/>
      <c r="H686" s="47" t="str">
        <f t="shared" ca="1" si="80"/>
        <v>97E4</v>
      </c>
      <c r="I686" s="89"/>
      <c r="J686" s="47" t="str">
        <f t="shared" ca="1" si="81"/>
        <v>93E0</v>
      </c>
      <c r="K686" s="89"/>
      <c r="L686" s="89"/>
      <c r="M686" s="47" t="str">
        <f t="shared" ca="1" si="82"/>
        <v>45A5</v>
      </c>
      <c r="N686" s="89"/>
      <c r="O686" s="47" t="str">
        <f t="shared" ca="1" si="83"/>
        <v>036F</v>
      </c>
    </row>
    <row r="687" spans="2:15">
      <c r="B687" s="48">
        <f t="shared" ca="1" si="77"/>
        <v>16</v>
      </c>
      <c r="C687" s="49">
        <f ca="1">BitXOR(B687, $V$16)</f>
        <v>1044</v>
      </c>
      <c r="D687" s="64">
        <f t="shared" ca="1" si="78"/>
        <v>3084</v>
      </c>
      <c r="E687" s="64">
        <f t="shared" ca="1" si="79"/>
        <v>47882</v>
      </c>
      <c r="F687" s="89"/>
      <c r="G687" s="89"/>
      <c r="H687" s="47" t="str">
        <f t="shared" ca="1" si="80"/>
        <v>0010</v>
      </c>
      <c r="I687" s="89"/>
      <c r="J687" s="47" t="str">
        <f t="shared" ca="1" si="81"/>
        <v>0414</v>
      </c>
      <c r="K687" s="89"/>
      <c r="L687" s="89"/>
      <c r="M687" s="47" t="str">
        <f t="shared" ca="1" si="82"/>
        <v>0C0C</v>
      </c>
      <c r="N687" s="89"/>
      <c r="O687" s="47" t="str">
        <f t="shared" ca="1" si="83"/>
        <v>BB0A</v>
      </c>
    </row>
    <row r="688" spans="2:15">
      <c r="B688" s="48">
        <f t="shared" ca="1" si="77"/>
        <v>12844</v>
      </c>
      <c r="C688" s="49">
        <f ca="1">BitXOR(B688, $V$16)</f>
        <v>13864</v>
      </c>
      <c r="D688" s="64">
        <f t="shared" ca="1" si="78"/>
        <v>26381</v>
      </c>
      <c r="E688" s="64">
        <f t="shared" ca="1" si="79"/>
        <v>12701</v>
      </c>
      <c r="F688" s="89"/>
      <c r="G688" s="89"/>
      <c r="H688" s="47" t="str">
        <f t="shared" ca="1" si="80"/>
        <v>322C</v>
      </c>
      <c r="I688" s="89"/>
      <c r="J688" s="47" t="str">
        <f t="shared" ca="1" si="81"/>
        <v>3628</v>
      </c>
      <c r="K688" s="89"/>
      <c r="L688" s="89"/>
      <c r="M688" s="47" t="str">
        <f t="shared" ca="1" si="82"/>
        <v>670D</v>
      </c>
      <c r="N688" s="89"/>
      <c r="O688" s="47" t="str">
        <f t="shared" ca="1" si="83"/>
        <v>319D</v>
      </c>
    </row>
    <row r="689" spans="2:15">
      <c r="B689" s="48">
        <f t="shared" ca="1" si="77"/>
        <v>8463</v>
      </c>
      <c r="C689" s="49">
        <f ca="1">BitXOR(B689, $V$16)</f>
        <v>9483</v>
      </c>
      <c r="D689" s="64">
        <f t="shared" ca="1" si="78"/>
        <v>31923</v>
      </c>
      <c r="E689" s="64">
        <f t="shared" ca="1" si="79"/>
        <v>15526</v>
      </c>
      <c r="F689" s="89"/>
      <c r="G689" s="89"/>
      <c r="H689" s="47" t="str">
        <f t="shared" ca="1" si="80"/>
        <v>210F</v>
      </c>
      <c r="I689" s="89"/>
      <c r="J689" s="47" t="str">
        <f t="shared" ca="1" si="81"/>
        <v>250B</v>
      </c>
      <c r="K689" s="89"/>
      <c r="L689" s="89"/>
      <c r="M689" s="47" t="str">
        <f t="shared" ca="1" si="82"/>
        <v>7CB3</v>
      </c>
      <c r="N689" s="89"/>
      <c r="O689" s="47" t="str">
        <f t="shared" ca="1" si="83"/>
        <v>3CA6</v>
      </c>
    </row>
    <row r="690" spans="2:15">
      <c r="B690" s="48">
        <f t="shared" ca="1" si="77"/>
        <v>31995</v>
      </c>
      <c r="C690" s="49">
        <f ca="1">BitXOR(B690, $V$16)</f>
        <v>30975</v>
      </c>
      <c r="D690" s="64">
        <f t="shared" ca="1" si="78"/>
        <v>1705</v>
      </c>
      <c r="E690" s="64">
        <f t="shared" ca="1" si="79"/>
        <v>13991</v>
      </c>
      <c r="F690" s="89"/>
      <c r="G690" s="89"/>
      <c r="H690" s="47" t="str">
        <f t="shared" ca="1" si="80"/>
        <v>7CFB</v>
      </c>
      <c r="I690" s="89"/>
      <c r="J690" s="47" t="str">
        <f t="shared" ca="1" si="81"/>
        <v>78FF</v>
      </c>
      <c r="K690" s="89"/>
      <c r="L690" s="89"/>
      <c r="M690" s="47" t="str">
        <f t="shared" ca="1" si="82"/>
        <v>06A9</v>
      </c>
      <c r="N690" s="89"/>
      <c r="O690" s="47" t="str">
        <f t="shared" ca="1" si="83"/>
        <v>36A7</v>
      </c>
    </row>
    <row r="691" spans="2:15">
      <c r="B691" s="48">
        <f t="shared" ca="1" si="77"/>
        <v>37176</v>
      </c>
      <c r="C691" s="49">
        <f ca="1">BitXOR(B691, $V$16)</f>
        <v>38204</v>
      </c>
      <c r="D691" s="64">
        <f t="shared" ca="1" si="78"/>
        <v>43576</v>
      </c>
      <c r="E691" s="64">
        <f t="shared" ca="1" si="79"/>
        <v>42055</v>
      </c>
      <c r="F691" s="89"/>
      <c r="G691" s="89"/>
      <c r="H691" s="47" t="str">
        <f t="shared" ca="1" si="80"/>
        <v>9138</v>
      </c>
      <c r="I691" s="89"/>
      <c r="J691" s="47" t="str">
        <f t="shared" ca="1" si="81"/>
        <v>953C</v>
      </c>
      <c r="K691" s="89"/>
      <c r="L691" s="89"/>
      <c r="M691" s="47" t="str">
        <f t="shared" ca="1" si="82"/>
        <v>AA38</v>
      </c>
      <c r="N691" s="89"/>
      <c r="O691" s="47" t="str">
        <f t="shared" ca="1" si="83"/>
        <v>A447</v>
      </c>
    </row>
    <row r="692" spans="2:15">
      <c r="B692" s="48">
        <f t="shared" ca="1" si="77"/>
        <v>26388</v>
      </c>
      <c r="C692" s="49">
        <f ca="1">BitXOR(B692, $V$16)</f>
        <v>25360</v>
      </c>
      <c r="D692" s="64">
        <f t="shared" ca="1" si="78"/>
        <v>10085</v>
      </c>
      <c r="E692" s="64">
        <f t="shared" ca="1" si="79"/>
        <v>10235</v>
      </c>
      <c r="F692" s="89"/>
      <c r="G692" s="89"/>
      <c r="H692" s="47" t="str">
        <f t="shared" ca="1" si="80"/>
        <v>6714</v>
      </c>
      <c r="I692" s="89"/>
      <c r="J692" s="47" t="str">
        <f t="shared" ca="1" si="81"/>
        <v>6310</v>
      </c>
      <c r="K692" s="89"/>
      <c r="L692" s="89"/>
      <c r="M692" s="47" t="str">
        <f t="shared" ca="1" si="82"/>
        <v>2765</v>
      </c>
      <c r="N692" s="89"/>
      <c r="O692" s="47" t="str">
        <f t="shared" ca="1" si="83"/>
        <v>27FB</v>
      </c>
    </row>
    <row r="693" spans="2:15">
      <c r="B693" s="48">
        <f t="shared" ca="1" si="77"/>
        <v>19894</v>
      </c>
      <c r="C693" s="49">
        <f ca="1">BitXOR(B693, $V$16)</f>
        <v>18866</v>
      </c>
      <c r="D693" s="64">
        <f t="shared" ca="1" si="78"/>
        <v>4263</v>
      </c>
      <c r="E693" s="64">
        <f t="shared" ca="1" si="79"/>
        <v>59434</v>
      </c>
      <c r="F693" s="89"/>
      <c r="G693" s="89"/>
      <c r="H693" s="47" t="str">
        <f t="shared" ca="1" si="80"/>
        <v>4DB6</v>
      </c>
      <c r="I693" s="89"/>
      <c r="J693" s="47" t="str">
        <f t="shared" ca="1" si="81"/>
        <v>49B2</v>
      </c>
      <c r="K693" s="89"/>
      <c r="L693" s="89"/>
      <c r="M693" s="47" t="str">
        <f t="shared" ca="1" si="82"/>
        <v>10A7</v>
      </c>
      <c r="N693" s="89"/>
      <c r="O693" s="47" t="str">
        <f t="shared" ca="1" si="83"/>
        <v>E82A</v>
      </c>
    </row>
    <row r="694" spans="2:15">
      <c r="B694" s="48">
        <f t="shared" ca="1" si="77"/>
        <v>25185</v>
      </c>
      <c r="C694" s="49">
        <f ca="1">BitXOR(B694, $V$16)</f>
        <v>26213</v>
      </c>
      <c r="D694" s="64">
        <f t="shared" ca="1" si="78"/>
        <v>16517</v>
      </c>
      <c r="E694" s="64">
        <f t="shared" ca="1" si="79"/>
        <v>59269</v>
      </c>
      <c r="F694" s="89"/>
      <c r="G694" s="89"/>
      <c r="H694" s="47" t="str">
        <f t="shared" ca="1" si="80"/>
        <v>6261</v>
      </c>
      <c r="I694" s="89"/>
      <c r="J694" s="47" t="str">
        <f t="shared" ca="1" si="81"/>
        <v>6665</v>
      </c>
      <c r="K694" s="89"/>
      <c r="L694" s="89"/>
      <c r="M694" s="47" t="str">
        <f t="shared" ca="1" si="82"/>
        <v>4085</v>
      </c>
      <c r="N694" s="89"/>
      <c r="O694" s="47" t="str">
        <f t="shared" ca="1" si="83"/>
        <v>E785</v>
      </c>
    </row>
    <row r="695" spans="2:15">
      <c r="B695" s="48">
        <f t="shared" ca="1" si="77"/>
        <v>42371</v>
      </c>
      <c r="C695" s="49">
        <f ca="1">BitXOR(B695, $V$16)</f>
        <v>41351</v>
      </c>
      <c r="D695" s="64">
        <f t="shared" ca="1" si="78"/>
        <v>34776</v>
      </c>
      <c r="E695" s="64">
        <f t="shared" ca="1" si="79"/>
        <v>35151</v>
      </c>
      <c r="F695" s="89"/>
      <c r="G695" s="89"/>
      <c r="H695" s="47" t="str">
        <f t="shared" ca="1" si="80"/>
        <v>A583</v>
      </c>
      <c r="I695" s="89"/>
      <c r="J695" s="47" t="str">
        <f t="shared" ca="1" si="81"/>
        <v>A187</v>
      </c>
      <c r="K695" s="89"/>
      <c r="L695" s="89"/>
      <c r="M695" s="47" t="str">
        <f t="shared" ca="1" si="82"/>
        <v>87D8</v>
      </c>
      <c r="N695" s="89"/>
      <c r="O695" s="47" t="str">
        <f t="shared" ca="1" si="83"/>
        <v>894F</v>
      </c>
    </row>
    <row r="696" spans="2:15">
      <c r="B696" s="48">
        <f t="shared" ca="1" si="77"/>
        <v>723</v>
      </c>
      <c r="C696" s="49">
        <f ca="1">BitXOR(B696, $V$16)</f>
        <v>1751</v>
      </c>
      <c r="D696" s="64">
        <f t="shared" ca="1" si="78"/>
        <v>21165</v>
      </c>
      <c r="E696" s="64">
        <f t="shared" ca="1" si="79"/>
        <v>22253</v>
      </c>
      <c r="F696" s="89"/>
      <c r="G696" s="89"/>
      <c r="H696" s="47" t="str">
        <f t="shared" ca="1" si="80"/>
        <v>02D3</v>
      </c>
      <c r="I696" s="89"/>
      <c r="J696" s="47" t="str">
        <f t="shared" ca="1" si="81"/>
        <v>06D7</v>
      </c>
      <c r="K696" s="89"/>
      <c r="L696" s="89"/>
      <c r="M696" s="47" t="str">
        <f t="shared" ca="1" si="82"/>
        <v>52AD</v>
      </c>
      <c r="N696" s="89"/>
      <c r="O696" s="47" t="str">
        <f t="shared" ca="1" si="83"/>
        <v>56ED</v>
      </c>
    </row>
    <row r="697" spans="2:15">
      <c r="B697" s="48">
        <f t="shared" ca="1" si="77"/>
        <v>10930</v>
      </c>
      <c r="C697" s="49">
        <f ca="1">BitXOR(B697, $V$16)</f>
        <v>11958</v>
      </c>
      <c r="D697" s="64">
        <f t="shared" ca="1" si="78"/>
        <v>13764</v>
      </c>
      <c r="E697" s="64">
        <f t="shared" ca="1" si="79"/>
        <v>13262</v>
      </c>
      <c r="F697" s="89"/>
      <c r="G697" s="89"/>
      <c r="H697" s="47" t="str">
        <f t="shared" ca="1" si="80"/>
        <v>2AB2</v>
      </c>
      <c r="I697" s="89"/>
      <c r="J697" s="47" t="str">
        <f t="shared" ca="1" si="81"/>
        <v>2EB6</v>
      </c>
      <c r="K697" s="89"/>
      <c r="L697" s="89"/>
      <c r="M697" s="47" t="str">
        <f t="shared" ca="1" si="82"/>
        <v>35C4</v>
      </c>
      <c r="N697" s="89"/>
      <c r="O697" s="47" t="str">
        <f t="shared" ca="1" si="83"/>
        <v>33CE</v>
      </c>
    </row>
    <row r="698" spans="2:15">
      <c r="B698" s="48">
        <f t="shared" ca="1" si="77"/>
        <v>15819</v>
      </c>
      <c r="C698" s="49">
        <f ca="1">BitXOR(B698, $V$16)</f>
        <v>14799</v>
      </c>
      <c r="D698" s="64">
        <f t="shared" ca="1" si="78"/>
        <v>64261</v>
      </c>
      <c r="E698" s="64">
        <f t="shared" ca="1" si="79"/>
        <v>323</v>
      </c>
      <c r="F698" s="89"/>
      <c r="G698" s="89"/>
      <c r="H698" s="47" t="str">
        <f t="shared" ca="1" si="80"/>
        <v>3DCB</v>
      </c>
      <c r="I698" s="89"/>
      <c r="J698" s="47" t="str">
        <f t="shared" ca="1" si="81"/>
        <v>39CF</v>
      </c>
      <c r="K698" s="89"/>
      <c r="L698" s="89"/>
      <c r="M698" s="47" t="str">
        <f t="shared" ca="1" si="82"/>
        <v>FB05</v>
      </c>
      <c r="N698" s="89"/>
      <c r="O698" s="47" t="str">
        <f t="shared" ca="1" si="83"/>
        <v>0143</v>
      </c>
    </row>
    <row r="699" spans="2:15">
      <c r="B699" s="48">
        <f t="shared" ca="1" si="77"/>
        <v>26406</v>
      </c>
      <c r="C699" s="49">
        <f ca="1">BitXOR(B699, $V$16)</f>
        <v>25378</v>
      </c>
      <c r="D699" s="64">
        <f t="shared" ca="1" si="78"/>
        <v>5185</v>
      </c>
      <c r="E699" s="64">
        <f t="shared" ca="1" si="79"/>
        <v>44821</v>
      </c>
      <c r="F699" s="89"/>
      <c r="G699" s="89"/>
      <c r="H699" s="47" t="str">
        <f t="shared" ca="1" si="80"/>
        <v>6726</v>
      </c>
      <c r="I699" s="89"/>
      <c r="J699" s="47" t="str">
        <f t="shared" ca="1" si="81"/>
        <v>6322</v>
      </c>
      <c r="K699" s="89"/>
      <c r="L699" s="89"/>
      <c r="M699" s="47" t="str">
        <f t="shared" ca="1" si="82"/>
        <v>1441</v>
      </c>
      <c r="N699" s="89"/>
      <c r="O699" s="47" t="str">
        <f t="shared" ca="1" si="83"/>
        <v>AF15</v>
      </c>
    </row>
    <row r="700" spans="2:15">
      <c r="B700" s="48">
        <f t="shared" ca="1" si="77"/>
        <v>55472</v>
      </c>
      <c r="C700" s="49">
        <f ca="1">BitXOR(B700, $V$16)</f>
        <v>56500</v>
      </c>
      <c r="D700" s="64">
        <f t="shared" ca="1" si="78"/>
        <v>38763</v>
      </c>
      <c r="E700" s="64">
        <f t="shared" ca="1" si="79"/>
        <v>23722</v>
      </c>
      <c r="F700" s="89"/>
      <c r="G700" s="89"/>
      <c r="H700" s="47" t="str">
        <f t="shared" ca="1" si="80"/>
        <v>D8B0</v>
      </c>
      <c r="I700" s="89"/>
      <c r="J700" s="47" t="str">
        <f t="shared" ca="1" si="81"/>
        <v>DCB4</v>
      </c>
      <c r="K700" s="89"/>
      <c r="L700" s="89"/>
      <c r="M700" s="47" t="str">
        <f t="shared" ca="1" si="82"/>
        <v>976B</v>
      </c>
      <c r="N700" s="89"/>
      <c r="O700" s="47" t="str">
        <f t="shared" ca="1" si="83"/>
        <v>5CAA</v>
      </c>
    </row>
    <row r="701" spans="2:15">
      <c r="B701" s="48">
        <f t="shared" ca="1" si="77"/>
        <v>34933</v>
      </c>
      <c r="C701" s="49">
        <f ca="1">BitXOR(B701, $V$16)</f>
        <v>35953</v>
      </c>
      <c r="D701" s="64">
        <f t="shared" ca="1" si="78"/>
        <v>57105</v>
      </c>
      <c r="E701" s="64">
        <f t="shared" ca="1" si="79"/>
        <v>56441</v>
      </c>
      <c r="F701" s="89"/>
      <c r="G701" s="89"/>
      <c r="H701" s="47" t="str">
        <f t="shared" ca="1" si="80"/>
        <v>8875</v>
      </c>
      <c r="I701" s="89"/>
      <c r="J701" s="47" t="str">
        <f t="shared" ca="1" si="81"/>
        <v>8C71</v>
      </c>
      <c r="K701" s="89"/>
      <c r="L701" s="89"/>
      <c r="M701" s="47" t="str">
        <f t="shared" ca="1" si="82"/>
        <v>DF11</v>
      </c>
      <c r="N701" s="89"/>
      <c r="O701" s="47" t="str">
        <f t="shared" ca="1" si="83"/>
        <v>DC79</v>
      </c>
    </row>
    <row r="702" spans="2:15">
      <c r="B702" s="48">
        <f t="shared" ca="1" si="77"/>
        <v>34360</v>
      </c>
      <c r="C702" s="49">
        <f ca="1">BitXOR(B702, $V$16)</f>
        <v>33340</v>
      </c>
      <c r="D702" s="64">
        <f t="shared" ca="1" si="78"/>
        <v>36082</v>
      </c>
      <c r="E702" s="64">
        <f t="shared" ca="1" si="79"/>
        <v>34673</v>
      </c>
      <c r="F702" s="89"/>
      <c r="G702" s="89"/>
      <c r="H702" s="47" t="str">
        <f t="shared" ca="1" si="80"/>
        <v>8638</v>
      </c>
      <c r="I702" s="89"/>
      <c r="J702" s="47" t="str">
        <f t="shared" ca="1" si="81"/>
        <v>823C</v>
      </c>
      <c r="K702" s="89"/>
      <c r="L702" s="89"/>
      <c r="M702" s="47" t="str">
        <f t="shared" ca="1" si="82"/>
        <v>8CF2</v>
      </c>
      <c r="N702" s="89"/>
      <c r="O702" s="47" t="str">
        <f t="shared" ca="1" si="83"/>
        <v>8771</v>
      </c>
    </row>
    <row r="703" spans="2:15">
      <c r="B703" s="48">
        <f t="shared" ca="1" si="77"/>
        <v>48534</v>
      </c>
      <c r="C703" s="49">
        <f ca="1">BitXOR(B703, $V$16)</f>
        <v>47506</v>
      </c>
      <c r="D703" s="64">
        <f t="shared" ca="1" si="78"/>
        <v>19765</v>
      </c>
      <c r="E703" s="64">
        <f t="shared" ca="1" si="79"/>
        <v>12852</v>
      </c>
      <c r="F703" s="89"/>
      <c r="G703" s="89"/>
      <c r="H703" s="47" t="str">
        <f t="shared" ca="1" si="80"/>
        <v>BD96</v>
      </c>
      <c r="I703" s="89"/>
      <c r="J703" s="47" t="str">
        <f t="shared" ca="1" si="81"/>
        <v>B992</v>
      </c>
      <c r="K703" s="89"/>
      <c r="L703" s="89"/>
      <c r="M703" s="47" t="str">
        <f t="shared" ca="1" si="82"/>
        <v>4D35</v>
      </c>
      <c r="N703" s="89"/>
      <c r="O703" s="47" t="str">
        <f t="shared" ca="1" si="83"/>
        <v>3234</v>
      </c>
    </row>
    <row r="704" spans="2:15">
      <c r="B704" s="48">
        <f t="shared" ca="1" si="77"/>
        <v>15437</v>
      </c>
      <c r="C704" s="49">
        <f ca="1">BitXOR(B704, $V$16)</f>
        <v>14409</v>
      </c>
      <c r="D704" s="64">
        <f t="shared" ca="1" si="78"/>
        <v>8592</v>
      </c>
      <c r="E704" s="64">
        <f t="shared" ca="1" si="79"/>
        <v>21728</v>
      </c>
      <c r="F704" s="89"/>
      <c r="G704" s="89"/>
      <c r="H704" s="47" t="str">
        <f t="shared" ca="1" si="80"/>
        <v>3C4D</v>
      </c>
      <c r="I704" s="89"/>
      <c r="J704" s="47" t="str">
        <f t="shared" ca="1" si="81"/>
        <v>3849</v>
      </c>
      <c r="K704" s="89"/>
      <c r="L704" s="89"/>
      <c r="M704" s="47" t="str">
        <f t="shared" ca="1" si="82"/>
        <v>2190</v>
      </c>
      <c r="N704" s="89"/>
      <c r="O704" s="47" t="str">
        <f t="shared" ca="1" si="83"/>
        <v>54E0</v>
      </c>
    </row>
    <row r="705" spans="2:15">
      <c r="B705" s="48">
        <f t="shared" ca="1" si="77"/>
        <v>37150</v>
      </c>
      <c r="C705" s="49">
        <f ca="1">BitXOR(B705, $V$16)</f>
        <v>38170</v>
      </c>
      <c r="D705" s="64">
        <f t="shared" ca="1" si="78"/>
        <v>10672</v>
      </c>
      <c r="E705" s="64">
        <f t="shared" ca="1" si="79"/>
        <v>4902</v>
      </c>
      <c r="F705" s="89"/>
      <c r="G705" s="89"/>
      <c r="H705" s="47" t="str">
        <f t="shared" ca="1" si="80"/>
        <v>911E</v>
      </c>
      <c r="I705" s="89"/>
      <c r="J705" s="47" t="str">
        <f t="shared" ca="1" si="81"/>
        <v>951A</v>
      </c>
      <c r="K705" s="89"/>
      <c r="L705" s="89"/>
      <c r="M705" s="47" t="str">
        <f t="shared" ca="1" si="82"/>
        <v>29B0</v>
      </c>
      <c r="N705" s="89"/>
      <c r="O705" s="47" t="str">
        <f t="shared" ca="1" si="83"/>
        <v>1326</v>
      </c>
    </row>
    <row r="706" spans="2:15">
      <c r="B706" s="48">
        <f t="shared" ca="1" si="77"/>
        <v>59397</v>
      </c>
      <c r="C706" s="49">
        <f ca="1">BitXOR(B706, $V$16)</f>
        <v>60417</v>
      </c>
      <c r="D706" s="64">
        <f t="shared" ca="1" si="78"/>
        <v>46430</v>
      </c>
      <c r="E706" s="64">
        <f t="shared" ca="1" si="79"/>
        <v>20522</v>
      </c>
      <c r="F706" s="89"/>
      <c r="G706" s="89"/>
      <c r="H706" s="47" t="str">
        <f t="shared" ca="1" si="80"/>
        <v>E805</v>
      </c>
      <c r="I706" s="89"/>
      <c r="J706" s="47" t="str">
        <f t="shared" ca="1" si="81"/>
        <v>EC01</v>
      </c>
      <c r="K706" s="89"/>
      <c r="L706" s="89"/>
      <c r="M706" s="47" t="str">
        <f t="shared" ca="1" si="82"/>
        <v>B55E</v>
      </c>
      <c r="N706" s="89"/>
      <c r="O706" s="47" t="str">
        <f t="shared" ca="1" si="83"/>
        <v>502A</v>
      </c>
    </row>
    <row r="707" spans="2:15">
      <c r="B707" s="48">
        <f t="shared" ca="1" si="77"/>
        <v>34213</v>
      </c>
      <c r="C707" s="49">
        <f ca="1">BitXOR(B707, $V$16)</f>
        <v>33185</v>
      </c>
      <c r="D707" s="64">
        <f t="shared" ca="1" si="78"/>
        <v>53989</v>
      </c>
      <c r="E707" s="64">
        <f t="shared" ca="1" si="79"/>
        <v>58097</v>
      </c>
      <c r="F707" s="89"/>
      <c r="G707" s="89"/>
      <c r="H707" s="47" t="str">
        <f t="shared" ca="1" si="80"/>
        <v>85A5</v>
      </c>
      <c r="I707" s="89"/>
      <c r="J707" s="47" t="str">
        <f t="shared" ca="1" si="81"/>
        <v>81A1</v>
      </c>
      <c r="K707" s="89"/>
      <c r="L707" s="89"/>
      <c r="M707" s="47" t="str">
        <f t="shared" ca="1" si="82"/>
        <v>D2E5</v>
      </c>
      <c r="N707" s="89"/>
      <c r="O707" s="47" t="str">
        <f t="shared" ca="1" si="83"/>
        <v>E2F1</v>
      </c>
    </row>
    <row r="708" spans="2:15">
      <c r="B708" s="48">
        <f t="shared" ca="1" si="77"/>
        <v>45564</v>
      </c>
      <c r="C708" s="49">
        <f ca="1">BitXOR(B708, $V$16)</f>
        <v>46584</v>
      </c>
      <c r="D708" s="64">
        <f t="shared" ca="1" si="78"/>
        <v>18833</v>
      </c>
      <c r="E708" s="64">
        <f t="shared" ca="1" si="79"/>
        <v>60095</v>
      </c>
      <c r="F708" s="89"/>
      <c r="G708" s="89"/>
      <c r="H708" s="47" t="str">
        <f t="shared" ca="1" si="80"/>
        <v>B1FC</v>
      </c>
      <c r="I708" s="89"/>
      <c r="J708" s="47" t="str">
        <f t="shared" ca="1" si="81"/>
        <v>B5F8</v>
      </c>
      <c r="K708" s="89"/>
      <c r="L708" s="89"/>
      <c r="M708" s="47" t="str">
        <f t="shared" ca="1" si="82"/>
        <v>4991</v>
      </c>
      <c r="N708" s="89"/>
      <c r="O708" s="47" t="str">
        <f t="shared" ca="1" si="83"/>
        <v>EABF</v>
      </c>
    </row>
    <row r="709" spans="2:15">
      <c r="B709" s="48">
        <f t="shared" ca="1" si="77"/>
        <v>50957</v>
      </c>
      <c r="C709" s="49">
        <f ca="1">BitXOR(B709, $V$16)</f>
        <v>49929</v>
      </c>
      <c r="D709" s="64">
        <f t="shared" ca="1" si="78"/>
        <v>55238</v>
      </c>
      <c r="E709" s="64">
        <f t="shared" ca="1" si="79"/>
        <v>38854</v>
      </c>
      <c r="F709" s="89"/>
      <c r="G709" s="89"/>
      <c r="H709" s="47" t="str">
        <f t="shared" ca="1" si="80"/>
        <v>C70D</v>
      </c>
      <c r="I709" s="89"/>
      <c r="J709" s="47" t="str">
        <f t="shared" ca="1" si="81"/>
        <v>C309</v>
      </c>
      <c r="K709" s="89"/>
      <c r="L709" s="89"/>
      <c r="M709" s="47" t="str">
        <f t="shared" ca="1" si="82"/>
        <v>D7C6</v>
      </c>
      <c r="N709" s="89"/>
      <c r="O709" s="47" t="str">
        <f t="shared" ca="1" si="83"/>
        <v>97C6</v>
      </c>
    </row>
    <row r="710" spans="2:15">
      <c r="B710" s="48">
        <f t="shared" ca="1" si="77"/>
        <v>26120</v>
      </c>
      <c r="C710" s="49">
        <f ca="1">BitXOR(B710, $V$16)</f>
        <v>25100</v>
      </c>
      <c r="D710" s="64">
        <f t="shared" ca="1" si="78"/>
        <v>22046</v>
      </c>
      <c r="E710" s="64">
        <f t="shared" ca="1" si="79"/>
        <v>23909</v>
      </c>
      <c r="F710" s="89"/>
      <c r="G710" s="89"/>
      <c r="H710" s="47" t="str">
        <f t="shared" ca="1" si="80"/>
        <v>6608</v>
      </c>
      <c r="I710" s="89"/>
      <c r="J710" s="47" t="str">
        <f t="shared" ca="1" si="81"/>
        <v>620C</v>
      </c>
      <c r="K710" s="89"/>
      <c r="L710" s="89"/>
      <c r="M710" s="47" t="str">
        <f t="shared" ca="1" si="82"/>
        <v>561E</v>
      </c>
      <c r="N710" s="89"/>
      <c r="O710" s="47" t="str">
        <f t="shared" ca="1" si="83"/>
        <v>5D65</v>
      </c>
    </row>
    <row r="711" spans="2:15">
      <c r="B711" s="48">
        <f t="shared" ca="1" si="77"/>
        <v>60037</v>
      </c>
      <c r="C711" s="49">
        <f ca="1">BitXOR(B711, $V$16)</f>
        <v>61057</v>
      </c>
      <c r="D711" s="64">
        <f t="shared" ca="1" si="78"/>
        <v>3830</v>
      </c>
      <c r="E711" s="64">
        <f t="shared" ca="1" si="79"/>
        <v>18180</v>
      </c>
      <c r="F711" s="89"/>
      <c r="G711" s="89"/>
      <c r="H711" s="47" t="str">
        <f t="shared" ca="1" si="80"/>
        <v>EA85</v>
      </c>
      <c r="I711" s="89"/>
      <c r="J711" s="47" t="str">
        <f t="shared" ca="1" si="81"/>
        <v>EE81</v>
      </c>
      <c r="K711" s="89"/>
      <c r="L711" s="89"/>
      <c r="M711" s="47" t="str">
        <f t="shared" ca="1" si="82"/>
        <v>0EF6</v>
      </c>
      <c r="N711" s="89"/>
      <c r="O711" s="47" t="str">
        <f t="shared" ca="1" si="83"/>
        <v>4704</v>
      </c>
    </row>
    <row r="712" spans="2:15">
      <c r="B712" s="48">
        <f t="shared" ca="1" si="77"/>
        <v>23785</v>
      </c>
      <c r="C712" s="49">
        <f ca="1">BitXOR(B712, $V$16)</f>
        <v>22765</v>
      </c>
      <c r="D712" s="64">
        <f t="shared" ca="1" si="78"/>
        <v>19348</v>
      </c>
      <c r="E712" s="64">
        <f t="shared" ca="1" si="79"/>
        <v>22720</v>
      </c>
      <c r="F712" s="89"/>
      <c r="G712" s="89"/>
      <c r="H712" s="47" t="str">
        <f t="shared" ca="1" si="80"/>
        <v>5CE9</v>
      </c>
      <c r="I712" s="89"/>
      <c r="J712" s="47" t="str">
        <f t="shared" ca="1" si="81"/>
        <v>58ED</v>
      </c>
      <c r="K712" s="89"/>
      <c r="L712" s="89"/>
      <c r="M712" s="47" t="str">
        <f t="shared" ca="1" si="82"/>
        <v>4B94</v>
      </c>
      <c r="N712" s="89"/>
      <c r="O712" s="47" t="str">
        <f t="shared" ca="1" si="83"/>
        <v>58C0</v>
      </c>
    </row>
    <row r="713" spans="2:15">
      <c r="B713" s="48">
        <f t="shared" ca="1" si="77"/>
        <v>36758</v>
      </c>
      <c r="C713" s="49">
        <f ca="1">BitXOR(B713, $V$16)</f>
        <v>35730</v>
      </c>
      <c r="D713" s="64">
        <f t="shared" ca="1" si="78"/>
        <v>13369</v>
      </c>
      <c r="E713" s="64">
        <f t="shared" ca="1" si="79"/>
        <v>11002</v>
      </c>
      <c r="F713" s="89"/>
      <c r="G713" s="89"/>
      <c r="H713" s="47" t="str">
        <f t="shared" ca="1" si="80"/>
        <v>8F96</v>
      </c>
      <c r="I713" s="89"/>
      <c r="J713" s="47" t="str">
        <f t="shared" ca="1" si="81"/>
        <v>8B92</v>
      </c>
      <c r="K713" s="89"/>
      <c r="L713" s="89"/>
      <c r="M713" s="47" t="str">
        <f t="shared" ca="1" si="82"/>
        <v>3439</v>
      </c>
      <c r="N713" s="89"/>
      <c r="O713" s="47" t="str">
        <f t="shared" ca="1" si="83"/>
        <v>2AFA</v>
      </c>
    </row>
    <row r="714" spans="2:15">
      <c r="B714" s="48">
        <f t="shared" ca="1" si="77"/>
        <v>62684</v>
      </c>
      <c r="C714" s="49">
        <f ca="1">BitXOR(B714, $V$16)</f>
        <v>61656</v>
      </c>
      <c r="D714" s="64">
        <f t="shared" ca="1" si="78"/>
        <v>43869</v>
      </c>
      <c r="E714" s="64">
        <f t="shared" ca="1" si="79"/>
        <v>43890</v>
      </c>
      <c r="F714" s="89"/>
      <c r="G714" s="89"/>
      <c r="H714" s="47" t="str">
        <f t="shared" ca="1" si="80"/>
        <v>F4DC</v>
      </c>
      <c r="I714" s="89"/>
      <c r="J714" s="47" t="str">
        <f t="shared" ca="1" si="81"/>
        <v>F0D8</v>
      </c>
      <c r="K714" s="89"/>
      <c r="L714" s="89"/>
      <c r="M714" s="47" t="str">
        <f t="shared" ca="1" si="82"/>
        <v>AB5D</v>
      </c>
      <c r="N714" s="89"/>
      <c r="O714" s="47" t="str">
        <f t="shared" ca="1" si="83"/>
        <v>AB72</v>
      </c>
    </row>
    <row r="715" spans="2:15">
      <c r="B715" s="48">
        <f t="shared" ca="1" si="77"/>
        <v>9616</v>
      </c>
      <c r="C715" s="49">
        <f ca="1">BitXOR(B715, $V$16)</f>
        <v>8596</v>
      </c>
      <c r="D715" s="64">
        <f t="shared" ca="1" si="78"/>
        <v>3548</v>
      </c>
      <c r="E715" s="64">
        <f t="shared" ca="1" si="79"/>
        <v>1747</v>
      </c>
      <c r="F715" s="89"/>
      <c r="G715" s="89"/>
      <c r="H715" s="47" t="str">
        <f t="shared" ca="1" si="80"/>
        <v>2590</v>
      </c>
      <c r="I715" s="89"/>
      <c r="J715" s="47" t="str">
        <f t="shared" ca="1" si="81"/>
        <v>2194</v>
      </c>
      <c r="K715" s="89"/>
      <c r="L715" s="89"/>
      <c r="M715" s="47" t="str">
        <f t="shared" ca="1" si="82"/>
        <v>0DDC</v>
      </c>
      <c r="N715" s="89"/>
      <c r="O715" s="47" t="str">
        <f t="shared" ca="1" si="83"/>
        <v>06D3</v>
      </c>
    </row>
    <row r="716" spans="2:15">
      <c r="B716" s="48">
        <f t="shared" ca="1" si="77"/>
        <v>13217</v>
      </c>
      <c r="C716" s="49">
        <f ca="1">BitXOR(B716, $V$16)</f>
        <v>14245</v>
      </c>
      <c r="D716" s="64">
        <f t="shared" ca="1" si="78"/>
        <v>62770</v>
      </c>
      <c r="E716" s="64">
        <f t="shared" ca="1" si="79"/>
        <v>28979</v>
      </c>
      <c r="F716" s="89"/>
      <c r="G716" s="89"/>
      <c r="H716" s="47" t="str">
        <f t="shared" ca="1" si="80"/>
        <v>33A1</v>
      </c>
      <c r="I716" s="89"/>
      <c r="J716" s="47" t="str">
        <f t="shared" ca="1" si="81"/>
        <v>37A5</v>
      </c>
      <c r="K716" s="89"/>
      <c r="L716" s="89"/>
      <c r="M716" s="47" t="str">
        <f t="shared" ca="1" si="82"/>
        <v>F532</v>
      </c>
      <c r="N716" s="89"/>
      <c r="O716" s="47" t="str">
        <f t="shared" ca="1" si="83"/>
        <v>7133</v>
      </c>
    </row>
    <row r="717" spans="2:15">
      <c r="B717" s="48">
        <f t="shared" ca="1" si="77"/>
        <v>19269</v>
      </c>
      <c r="C717" s="49">
        <f ca="1">BitXOR(B717, $V$16)</f>
        <v>20289</v>
      </c>
      <c r="D717" s="64">
        <f t="shared" ca="1" si="78"/>
        <v>35024</v>
      </c>
      <c r="E717" s="64">
        <f t="shared" ca="1" si="79"/>
        <v>16594</v>
      </c>
      <c r="F717" s="89"/>
      <c r="G717" s="89"/>
      <c r="H717" s="47" t="str">
        <f t="shared" ca="1" si="80"/>
        <v>4B45</v>
      </c>
      <c r="I717" s="89"/>
      <c r="J717" s="47" t="str">
        <f t="shared" ca="1" si="81"/>
        <v>4F41</v>
      </c>
      <c r="K717" s="89"/>
      <c r="L717" s="89"/>
      <c r="M717" s="47" t="str">
        <f t="shared" ca="1" si="82"/>
        <v>88D0</v>
      </c>
      <c r="N717" s="89"/>
      <c r="O717" s="47" t="str">
        <f t="shared" ca="1" si="83"/>
        <v>40D2</v>
      </c>
    </row>
    <row r="718" spans="2:15">
      <c r="B718" s="48">
        <f t="shared" ca="1" si="77"/>
        <v>37397</v>
      </c>
      <c r="C718" s="49">
        <f ca="1">BitXOR(B718, $V$16)</f>
        <v>38417</v>
      </c>
      <c r="D718" s="64">
        <f t="shared" ca="1" si="78"/>
        <v>27366</v>
      </c>
      <c r="E718" s="64">
        <f t="shared" ca="1" si="79"/>
        <v>27707</v>
      </c>
      <c r="F718" s="89"/>
      <c r="G718" s="89"/>
      <c r="H718" s="47" t="str">
        <f t="shared" ca="1" si="80"/>
        <v>9215</v>
      </c>
      <c r="I718" s="89"/>
      <c r="J718" s="47" t="str">
        <f t="shared" ca="1" si="81"/>
        <v>9611</v>
      </c>
      <c r="K718" s="89"/>
      <c r="L718" s="89"/>
      <c r="M718" s="47" t="str">
        <f t="shared" ca="1" si="82"/>
        <v>6AE6</v>
      </c>
      <c r="N718" s="89"/>
      <c r="O718" s="47" t="str">
        <f t="shared" ca="1" si="83"/>
        <v>6C3B</v>
      </c>
    </row>
    <row r="719" spans="2:15">
      <c r="B719" s="48">
        <f t="shared" ca="1" si="77"/>
        <v>52622</v>
      </c>
      <c r="C719" s="49">
        <f ca="1">BitXOR(B719, $V$16)</f>
        <v>51594</v>
      </c>
      <c r="D719" s="64">
        <f t="shared" ca="1" si="78"/>
        <v>58876</v>
      </c>
      <c r="E719" s="64">
        <f t="shared" ca="1" si="79"/>
        <v>58708</v>
      </c>
      <c r="F719" s="89"/>
      <c r="G719" s="89"/>
      <c r="H719" s="47" t="str">
        <f t="shared" ca="1" si="80"/>
        <v>CD8E</v>
      </c>
      <c r="I719" s="89"/>
      <c r="J719" s="47" t="str">
        <f t="shared" ca="1" si="81"/>
        <v>C98A</v>
      </c>
      <c r="K719" s="89"/>
      <c r="L719" s="89"/>
      <c r="M719" s="47" t="str">
        <f t="shared" ca="1" si="82"/>
        <v>E5FC</v>
      </c>
      <c r="N719" s="89"/>
      <c r="O719" s="47" t="str">
        <f t="shared" ca="1" si="83"/>
        <v>E554</v>
      </c>
    </row>
    <row r="720" spans="2:15">
      <c r="B720" s="48">
        <f t="shared" ca="1" si="77"/>
        <v>14771</v>
      </c>
      <c r="C720" s="49">
        <f ca="1">BitXOR(B720, $V$16)</f>
        <v>15799</v>
      </c>
      <c r="D720" s="64">
        <f t="shared" ca="1" si="78"/>
        <v>21293</v>
      </c>
      <c r="E720" s="64">
        <f t="shared" ca="1" si="79"/>
        <v>28956</v>
      </c>
      <c r="F720" s="89"/>
      <c r="G720" s="89"/>
      <c r="H720" s="47" t="str">
        <f t="shared" ca="1" si="80"/>
        <v>39B3</v>
      </c>
      <c r="I720" s="89"/>
      <c r="J720" s="47" t="str">
        <f t="shared" ca="1" si="81"/>
        <v>3DB7</v>
      </c>
      <c r="K720" s="89"/>
      <c r="L720" s="89"/>
      <c r="M720" s="47" t="str">
        <f t="shared" ca="1" si="82"/>
        <v>532D</v>
      </c>
      <c r="N720" s="89"/>
      <c r="O720" s="47" t="str">
        <f t="shared" ca="1" si="83"/>
        <v>711C</v>
      </c>
    </row>
    <row r="721" spans="2:15">
      <c r="B721" s="48">
        <f t="shared" ca="1" si="77"/>
        <v>38281</v>
      </c>
      <c r="C721" s="49">
        <f ca="1">BitXOR(B721, $V$16)</f>
        <v>37261</v>
      </c>
      <c r="D721" s="64">
        <f t="shared" ca="1" si="78"/>
        <v>35813</v>
      </c>
      <c r="E721" s="64">
        <f t="shared" ca="1" si="79"/>
        <v>42441</v>
      </c>
      <c r="F721" s="89"/>
      <c r="G721" s="89"/>
      <c r="H721" s="47" t="str">
        <f t="shared" ca="1" si="80"/>
        <v>9589</v>
      </c>
      <c r="I721" s="89"/>
      <c r="J721" s="47" t="str">
        <f t="shared" ca="1" si="81"/>
        <v>918D</v>
      </c>
      <c r="K721" s="89"/>
      <c r="L721" s="89"/>
      <c r="M721" s="47" t="str">
        <f t="shared" ca="1" si="82"/>
        <v>8BE5</v>
      </c>
      <c r="N721" s="89"/>
      <c r="O721" s="47" t="str">
        <f t="shared" ca="1" si="83"/>
        <v>A5C9</v>
      </c>
    </row>
    <row r="722" spans="2:15">
      <c r="B722" s="48">
        <f t="shared" ca="1" si="77"/>
        <v>40222</v>
      </c>
      <c r="C722" s="49">
        <f ca="1">BitXOR(B722, $V$16)</f>
        <v>39194</v>
      </c>
      <c r="D722" s="64">
        <f t="shared" ca="1" si="78"/>
        <v>46970</v>
      </c>
      <c r="E722" s="64">
        <f t="shared" ca="1" si="79"/>
        <v>46942</v>
      </c>
      <c r="F722" s="89"/>
      <c r="G722" s="89"/>
      <c r="H722" s="47" t="str">
        <f t="shared" ca="1" si="80"/>
        <v>9D1E</v>
      </c>
      <c r="I722" s="89"/>
      <c r="J722" s="47" t="str">
        <f t="shared" ca="1" si="81"/>
        <v>991A</v>
      </c>
      <c r="K722" s="89"/>
      <c r="L722" s="89"/>
      <c r="M722" s="47" t="str">
        <f t="shared" ca="1" si="82"/>
        <v>B77A</v>
      </c>
      <c r="N722" s="89"/>
      <c r="O722" s="47" t="str">
        <f t="shared" ca="1" si="83"/>
        <v>B75E</v>
      </c>
    </row>
    <row r="723" spans="2:15">
      <c r="B723" s="48">
        <f t="shared" ca="1" si="77"/>
        <v>2089</v>
      </c>
      <c r="C723" s="49">
        <f ca="1">BitXOR(B723, $V$16)</f>
        <v>3117</v>
      </c>
      <c r="D723" s="64">
        <f t="shared" ca="1" si="78"/>
        <v>25600</v>
      </c>
      <c r="E723" s="64">
        <f t="shared" ca="1" si="79"/>
        <v>9672</v>
      </c>
      <c r="F723" s="89"/>
      <c r="G723" s="89"/>
      <c r="H723" s="47" t="str">
        <f t="shared" ca="1" si="80"/>
        <v>0829</v>
      </c>
      <c r="I723" s="89"/>
      <c r="J723" s="47" t="str">
        <f t="shared" ca="1" si="81"/>
        <v>0C2D</v>
      </c>
      <c r="K723" s="89"/>
      <c r="L723" s="89"/>
      <c r="M723" s="47" t="str">
        <f t="shared" ca="1" si="82"/>
        <v>6400</v>
      </c>
      <c r="N723" s="89"/>
      <c r="O723" s="47" t="str">
        <f t="shared" ca="1" si="83"/>
        <v>25C8</v>
      </c>
    </row>
    <row r="724" spans="2:15">
      <c r="B724" s="48">
        <f t="shared" ca="1" si="77"/>
        <v>33970</v>
      </c>
      <c r="C724" s="49">
        <f ca="1">BitXOR(B724, $V$16)</f>
        <v>32950</v>
      </c>
      <c r="D724" s="64">
        <f t="shared" ca="1" si="78"/>
        <v>15344</v>
      </c>
      <c r="E724" s="64">
        <f t="shared" ca="1" si="79"/>
        <v>44265</v>
      </c>
      <c r="F724" s="89"/>
      <c r="G724" s="89"/>
      <c r="H724" s="47" t="str">
        <f t="shared" ca="1" si="80"/>
        <v>84B2</v>
      </c>
      <c r="I724" s="89"/>
      <c r="J724" s="47" t="str">
        <f t="shared" ca="1" si="81"/>
        <v>80B6</v>
      </c>
      <c r="K724" s="89"/>
      <c r="L724" s="89"/>
      <c r="M724" s="47" t="str">
        <f t="shared" ca="1" si="82"/>
        <v>3BF0</v>
      </c>
      <c r="N724" s="89"/>
      <c r="O724" s="47" t="str">
        <f t="shared" ca="1" si="83"/>
        <v>ACE9</v>
      </c>
    </row>
    <row r="725" spans="2:15">
      <c r="B725" s="48">
        <f t="shared" ca="1" si="77"/>
        <v>9545</v>
      </c>
      <c r="C725" s="49">
        <f ca="1">BitXOR(B725, $V$16)</f>
        <v>8525</v>
      </c>
      <c r="D725" s="64">
        <f t="shared" ca="1" si="78"/>
        <v>25526</v>
      </c>
      <c r="E725" s="64">
        <f t="shared" ca="1" si="79"/>
        <v>62896</v>
      </c>
      <c r="F725" s="89"/>
      <c r="G725" s="89"/>
      <c r="H725" s="47" t="str">
        <f t="shared" ca="1" si="80"/>
        <v>2549</v>
      </c>
      <c r="I725" s="89"/>
      <c r="J725" s="47" t="str">
        <f t="shared" ca="1" si="81"/>
        <v>214D</v>
      </c>
      <c r="K725" s="89"/>
      <c r="L725" s="89"/>
      <c r="M725" s="47" t="str">
        <f t="shared" ca="1" si="82"/>
        <v>63B6</v>
      </c>
      <c r="N725" s="89"/>
      <c r="O725" s="47" t="str">
        <f t="shared" ca="1" si="83"/>
        <v>F5B0</v>
      </c>
    </row>
    <row r="726" spans="2:15">
      <c r="B726" s="48">
        <f t="shared" ca="1" si="77"/>
        <v>34306</v>
      </c>
      <c r="C726" s="49">
        <f ca="1">BitXOR(B726, $V$16)</f>
        <v>33286</v>
      </c>
      <c r="D726" s="64">
        <f t="shared" ca="1" si="78"/>
        <v>34942</v>
      </c>
      <c r="E726" s="64">
        <f t="shared" ca="1" si="79"/>
        <v>14021</v>
      </c>
      <c r="F726" s="89"/>
      <c r="G726" s="89"/>
      <c r="H726" s="47" t="str">
        <f t="shared" ca="1" si="80"/>
        <v>8602</v>
      </c>
      <c r="I726" s="89"/>
      <c r="J726" s="47" t="str">
        <f t="shared" ca="1" si="81"/>
        <v>8206</v>
      </c>
      <c r="K726" s="89"/>
      <c r="L726" s="89"/>
      <c r="M726" s="47" t="str">
        <f t="shared" ca="1" si="82"/>
        <v>887E</v>
      </c>
      <c r="N726" s="89"/>
      <c r="O726" s="47" t="str">
        <f t="shared" ca="1" si="83"/>
        <v>36C5</v>
      </c>
    </row>
    <row r="727" spans="2:15">
      <c r="B727" s="48">
        <f t="shared" ref="B727:B790" ca="1" si="84">RANDBETWEEN(1,2^16-1)</f>
        <v>33277</v>
      </c>
      <c r="C727" s="49">
        <f ca="1">BitXOR(B727, $V$16)</f>
        <v>34297</v>
      </c>
      <c r="D727" s="64">
        <f t="shared" ca="1" si="78"/>
        <v>231</v>
      </c>
      <c r="E727" s="64">
        <f t="shared" ca="1" si="79"/>
        <v>35473</v>
      </c>
      <c r="F727" s="89"/>
      <c r="G727" s="89"/>
      <c r="H727" s="47" t="str">
        <f t="shared" ca="1" si="80"/>
        <v>81FD</v>
      </c>
      <c r="I727" s="89"/>
      <c r="J727" s="47" t="str">
        <f t="shared" ca="1" si="81"/>
        <v>85F9</v>
      </c>
      <c r="K727" s="89"/>
      <c r="L727" s="89"/>
      <c r="M727" s="47" t="str">
        <f t="shared" ca="1" si="82"/>
        <v>00E7</v>
      </c>
      <c r="N727" s="89"/>
      <c r="O727" s="47" t="str">
        <f t="shared" ca="1" si="83"/>
        <v>8A91</v>
      </c>
    </row>
    <row r="728" spans="2:15">
      <c r="B728" s="48">
        <f t="shared" ca="1" si="84"/>
        <v>52008</v>
      </c>
      <c r="C728" s="49">
        <f ca="1">BitXOR(B728, $V$16)</f>
        <v>53036</v>
      </c>
      <c r="D728" s="64">
        <f t="shared" ca="1" si="78"/>
        <v>57674</v>
      </c>
      <c r="E728" s="64">
        <f t="shared" ca="1" si="79"/>
        <v>18711</v>
      </c>
      <c r="F728" s="89"/>
      <c r="G728" s="89"/>
      <c r="H728" s="47" t="str">
        <f t="shared" ca="1" si="80"/>
        <v>CB28</v>
      </c>
      <c r="I728" s="89"/>
      <c r="J728" s="47" t="str">
        <f t="shared" ca="1" si="81"/>
        <v>CF2C</v>
      </c>
      <c r="K728" s="89"/>
      <c r="L728" s="89"/>
      <c r="M728" s="47" t="str">
        <f t="shared" ca="1" si="82"/>
        <v>E14A</v>
      </c>
      <c r="N728" s="89"/>
      <c r="O728" s="47" t="str">
        <f t="shared" ca="1" si="83"/>
        <v>4917</v>
      </c>
    </row>
    <row r="729" spans="2:15">
      <c r="B729" s="48">
        <f t="shared" ca="1" si="84"/>
        <v>56778</v>
      </c>
      <c r="C729" s="49">
        <f ca="1">BitXOR(B729, $V$16)</f>
        <v>55758</v>
      </c>
      <c r="D729" s="64">
        <f t="shared" ca="1" si="78"/>
        <v>53065</v>
      </c>
      <c r="E729" s="64">
        <f t="shared" ca="1" si="79"/>
        <v>41322</v>
      </c>
      <c r="F729" s="89"/>
      <c r="G729" s="89"/>
      <c r="H729" s="47" t="str">
        <f t="shared" ca="1" si="80"/>
        <v>DDCA</v>
      </c>
      <c r="I729" s="89"/>
      <c r="J729" s="47" t="str">
        <f t="shared" ca="1" si="81"/>
        <v>D9CE</v>
      </c>
      <c r="K729" s="89"/>
      <c r="L729" s="89"/>
      <c r="M729" s="47" t="str">
        <f t="shared" ca="1" si="82"/>
        <v>CF49</v>
      </c>
      <c r="N729" s="89"/>
      <c r="O729" s="47" t="str">
        <f t="shared" ca="1" si="83"/>
        <v>A16A</v>
      </c>
    </row>
    <row r="730" spans="2:15">
      <c r="B730" s="48">
        <f t="shared" ca="1" si="84"/>
        <v>10678</v>
      </c>
      <c r="C730" s="49">
        <f ca="1">BitXOR(B730, $V$16)</f>
        <v>11698</v>
      </c>
      <c r="D730" s="64">
        <f t="shared" ca="1" si="78"/>
        <v>21488</v>
      </c>
      <c r="E730" s="64">
        <f t="shared" ca="1" si="79"/>
        <v>54284</v>
      </c>
      <c r="F730" s="89"/>
      <c r="G730" s="89"/>
      <c r="H730" s="47" t="str">
        <f t="shared" ca="1" si="80"/>
        <v>29B6</v>
      </c>
      <c r="I730" s="89"/>
      <c r="J730" s="47" t="str">
        <f t="shared" ca="1" si="81"/>
        <v>2DB2</v>
      </c>
      <c r="K730" s="89"/>
      <c r="L730" s="89"/>
      <c r="M730" s="47" t="str">
        <f t="shared" ca="1" si="82"/>
        <v>53F0</v>
      </c>
      <c r="N730" s="89"/>
      <c r="O730" s="47" t="str">
        <f t="shared" ca="1" si="83"/>
        <v>D40C</v>
      </c>
    </row>
    <row r="731" spans="2:15">
      <c r="B731" s="48">
        <f t="shared" ca="1" si="84"/>
        <v>1053</v>
      </c>
      <c r="C731" s="49">
        <f ca="1">BitXOR(B731, $V$16)</f>
        <v>25</v>
      </c>
      <c r="D731" s="64">
        <f t="shared" ca="1" si="78"/>
        <v>52374</v>
      </c>
      <c r="E731" s="64">
        <f t="shared" ca="1" si="79"/>
        <v>47950</v>
      </c>
      <c r="F731" s="89"/>
      <c r="G731" s="89"/>
      <c r="H731" s="47" t="str">
        <f t="shared" ca="1" si="80"/>
        <v>041D</v>
      </c>
      <c r="I731" s="89"/>
      <c r="J731" s="47" t="str">
        <f t="shared" ca="1" si="81"/>
        <v>0019</v>
      </c>
      <c r="K731" s="89"/>
      <c r="L731" s="89"/>
      <c r="M731" s="47" t="str">
        <f t="shared" ca="1" si="82"/>
        <v>CC96</v>
      </c>
      <c r="N731" s="89"/>
      <c r="O731" s="47" t="str">
        <f t="shared" ca="1" si="83"/>
        <v>BB4E</v>
      </c>
    </row>
    <row r="732" spans="2:15">
      <c r="B732" s="48">
        <f t="shared" ca="1" si="84"/>
        <v>19986</v>
      </c>
      <c r="C732" s="49">
        <f ca="1">BitXOR(B732, $V$16)</f>
        <v>18966</v>
      </c>
      <c r="D732" s="64">
        <f t="shared" ca="1" si="78"/>
        <v>53614</v>
      </c>
      <c r="E732" s="64">
        <f t="shared" ca="1" si="79"/>
        <v>25861</v>
      </c>
      <c r="F732" s="89"/>
      <c r="G732" s="89"/>
      <c r="H732" s="47" t="str">
        <f t="shared" ca="1" si="80"/>
        <v>4E12</v>
      </c>
      <c r="I732" s="89"/>
      <c r="J732" s="47" t="str">
        <f t="shared" ca="1" si="81"/>
        <v>4A16</v>
      </c>
      <c r="K732" s="89"/>
      <c r="L732" s="89"/>
      <c r="M732" s="47" t="str">
        <f t="shared" ca="1" si="82"/>
        <v>D16E</v>
      </c>
      <c r="N732" s="89"/>
      <c r="O732" s="47" t="str">
        <f t="shared" ca="1" si="83"/>
        <v>6505</v>
      </c>
    </row>
    <row r="733" spans="2:15">
      <c r="B733" s="48">
        <f t="shared" ca="1" si="84"/>
        <v>60293</v>
      </c>
      <c r="C733" s="49">
        <f ca="1">BitXOR(B733, $V$16)</f>
        <v>61313</v>
      </c>
      <c r="D733" s="64">
        <f t="shared" ca="1" si="78"/>
        <v>23054</v>
      </c>
      <c r="E733" s="64">
        <f t="shared" ca="1" si="79"/>
        <v>21453</v>
      </c>
      <c r="F733" s="89"/>
      <c r="G733" s="89"/>
      <c r="H733" s="47" t="str">
        <f t="shared" ca="1" si="80"/>
        <v>EB85</v>
      </c>
      <c r="I733" s="89"/>
      <c r="J733" s="47" t="str">
        <f t="shared" ca="1" si="81"/>
        <v>EF81</v>
      </c>
      <c r="K733" s="89"/>
      <c r="L733" s="89"/>
      <c r="M733" s="47" t="str">
        <f t="shared" ca="1" si="82"/>
        <v>5A0E</v>
      </c>
      <c r="N733" s="89"/>
      <c r="O733" s="47" t="str">
        <f t="shared" ca="1" si="83"/>
        <v>53CD</v>
      </c>
    </row>
    <row r="734" spans="2:15">
      <c r="B734" s="48">
        <f t="shared" ca="1" si="84"/>
        <v>12743</v>
      </c>
      <c r="C734" s="49">
        <f ca="1">BitXOR(B734, $V$16)</f>
        <v>13763</v>
      </c>
      <c r="D734" s="64">
        <f t="shared" ca="1" si="78"/>
        <v>57020</v>
      </c>
      <c r="E734" s="64">
        <f t="shared" ca="1" si="79"/>
        <v>24355</v>
      </c>
      <c r="F734" s="89"/>
      <c r="G734" s="89"/>
      <c r="H734" s="47" t="str">
        <f t="shared" ca="1" si="80"/>
        <v>31C7</v>
      </c>
      <c r="I734" s="89"/>
      <c r="J734" s="47" t="str">
        <f t="shared" ca="1" si="81"/>
        <v>35C3</v>
      </c>
      <c r="K734" s="89"/>
      <c r="L734" s="89"/>
      <c r="M734" s="47" t="str">
        <f t="shared" ca="1" si="82"/>
        <v>DEBC</v>
      </c>
      <c r="N734" s="89"/>
      <c r="O734" s="47" t="str">
        <f t="shared" ca="1" si="83"/>
        <v>5F23</v>
      </c>
    </row>
    <row r="735" spans="2:15">
      <c r="B735" s="48">
        <f t="shared" ca="1" si="84"/>
        <v>56037</v>
      </c>
      <c r="C735" s="49">
        <f ca="1">BitXOR(B735, $V$16)</f>
        <v>57057</v>
      </c>
      <c r="D735" s="64">
        <f t="shared" ca="1" si="78"/>
        <v>59275</v>
      </c>
      <c r="E735" s="64">
        <f t="shared" ca="1" si="79"/>
        <v>18890</v>
      </c>
      <c r="F735" s="89"/>
      <c r="G735" s="89"/>
      <c r="H735" s="47" t="str">
        <f t="shared" ca="1" si="80"/>
        <v>DAE5</v>
      </c>
      <c r="I735" s="89"/>
      <c r="J735" s="47" t="str">
        <f t="shared" ca="1" si="81"/>
        <v>DEE1</v>
      </c>
      <c r="K735" s="89"/>
      <c r="L735" s="89"/>
      <c r="M735" s="47" t="str">
        <f t="shared" ca="1" si="82"/>
        <v>E78B</v>
      </c>
      <c r="N735" s="89"/>
      <c r="O735" s="47" t="str">
        <f t="shared" ca="1" si="83"/>
        <v>49CA</v>
      </c>
    </row>
    <row r="736" spans="2:15">
      <c r="B736" s="48">
        <f t="shared" ca="1" si="84"/>
        <v>55322</v>
      </c>
      <c r="C736" s="49">
        <f ca="1">BitXOR(B736, $V$16)</f>
        <v>56350</v>
      </c>
      <c r="D736" s="64">
        <f t="shared" ca="1" si="78"/>
        <v>60713</v>
      </c>
      <c r="E736" s="64">
        <f t="shared" ca="1" si="79"/>
        <v>32894</v>
      </c>
      <c r="F736" s="89"/>
      <c r="G736" s="89"/>
      <c r="H736" s="47" t="str">
        <f t="shared" ca="1" si="80"/>
        <v>D81A</v>
      </c>
      <c r="I736" s="89"/>
      <c r="J736" s="47" t="str">
        <f t="shared" ca="1" si="81"/>
        <v>DC1E</v>
      </c>
      <c r="K736" s="89"/>
      <c r="L736" s="89"/>
      <c r="M736" s="47" t="str">
        <f t="shared" ca="1" si="82"/>
        <v>ED29</v>
      </c>
      <c r="N736" s="89"/>
      <c r="O736" s="47" t="str">
        <f t="shared" ca="1" si="83"/>
        <v>807E</v>
      </c>
    </row>
    <row r="737" spans="2:15">
      <c r="B737" s="48">
        <f t="shared" ca="1" si="84"/>
        <v>11889</v>
      </c>
      <c r="C737" s="49">
        <f ca="1">BitXOR(B737, $V$16)</f>
        <v>10869</v>
      </c>
      <c r="D737" s="64">
        <f t="shared" ca="1" si="78"/>
        <v>53282</v>
      </c>
      <c r="E737" s="64">
        <f t="shared" ca="1" si="79"/>
        <v>30476</v>
      </c>
      <c r="F737" s="89"/>
      <c r="G737" s="89"/>
      <c r="H737" s="47" t="str">
        <f t="shared" ca="1" si="80"/>
        <v>2E71</v>
      </c>
      <c r="I737" s="89"/>
      <c r="J737" s="47" t="str">
        <f t="shared" ca="1" si="81"/>
        <v>2A75</v>
      </c>
      <c r="K737" s="89"/>
      <c r="L737" s="89"/>
      <c r="M737" s="47" t="str">
        <f t="shared" ca="1" si="82"/>
        <v>D022</v>
      </c>
      <c r="N737" s="89"/>
      <c r="O737" s="47" t="str">
        <f t="shared" ca="1" si="83"/>
        <v>770C</v>
      </c>
    </row>
    <row r="738" spans="2:15">
      <c r="B738" s="48">
        <f t="shared" ca="1" si="84"/>
        <v>50718</v>
      </c>
      <c r="C738" s="49">
        <f ca="1">BitXOR(B738, $V$16)</f>
        <v>49690</v>
      </c>
      <c r="D738" s="64">
        <f t="shared" ca="1" si="78"/>
        <v>21386</v>
      </c>
      <c r="E738" s="64">
        <f t="shared" ca="1" si="79"/>
        <v>28136</v>
      </c>
      <c r="F738" s="89"/>
      <c r="G738" s="89"/>
      <c r="H738" s="47" t="str">
        <f t="shared" ca="1" si="80"/>
        <v>C61E</v>
      </c>
      <c r="I738" s="89"/>
      <c r="J738" s="47" t="str">
        <f t="shared" ca="1" si="81"/>
        <v>C21A</v>
      </c>
      <c r="K738" s="89"/>
      <c r="L738" s="89"/>
      <c r="M738" s="47" t="str">
        <f t="shared" ca="1" si="82"/>
        <v>538A</v>
      </c>
      <c r="N738" s="89"/>
      <c r="O738" s="47" t="str">
        <f t="shared" ca="1" si="83"/>
        <v>6DE8</v>
      </c>
    </row>
    <row r="739" spans="2:15">
      <c r="B739" s="48">
        <f t="shared" ca="1" si="84"/>
        <v>63344</v>
      </c>
      <c r="C739" s="49">
        <f ca="1">BitXOR(B739, $V$16)</f>
        <v>62324</v>
      </c>
      <c r="D739" s="64">
        <f t="shared" ca="1" si="78"/>
        <v>57280</v>
      </c>
      <c r="E739" s="64">
        <f t="shared" ca="1" si="79"/>
        <v>32764</v>
      </c>
      <c r="F739" s="89"/>
      <c r="G739" s="89"/>
      <c r="H739" s="47" t="str">
        <f t="shared" ca="1" si="80"/>
        <v>F770</v>
      </c>
      <c r="I739" s="89"/>
      <c r="J739" s="47" t="str">
        <f t="shared" ca="1" si="81"/>
        <v>F374</v>
      </c>
      <c r="K739" s="89"/>
      <c r="L739" s="89"/>
      <c r="M739" s="47" t="str">
        <f t="shared" ca="1" si="82"/>
        <v>DFC0</v>
      </c>
      <c r="N739" s="89"/>
      <c r="O739" s="47" t="str">
        <f t="shared" ca="1" si="83"/>
        <v>7FFC</v>
      </c>
    </row>
    <row r="740" spans="2:15">
      <c r="B740" s="48">
        <f t="shared" ca="1" si="84"/>
        <v>41937</v>
      </c>
      <c r="C740" s="49">
        <f ca="1">BitXOR(B740, $V$16)</f>
        <v>42965</v>
      </c>
      <c r="D740" s="64">
        <f t="shared" ca="1" si="78"/>
        <v>1427</v>
      </c>
      <c r="E740" s="64">
        <f t="shared" ca="1" si="79"/>
        <v>62716</v>
      </c>
      <c r="F740" s="89"/>
      <c r="G740" s="89"/>
      <c r="H740" s="47" t="str">
        <f t="shared" ca="1" si="80"/>
        <v>A3D1</v>
      </c>
      <c r="I740" s="89"/>
      <c r="J740" s="47" t="str">
        <f t="shared" ca="1" si="81"/>
        <v>A7D5</v>
      </c>
      <c r="K740" s="89"/>
      <c r="L740" s="89"/>
      <c r="M740" s="47" t="str">
        <f t="shared" ca="1" si="82"/>
        <v>0593</v>
      </c>
      <c r="N740" s="89"/>
      <c r="O740" s="47" t="str">
        <f t="shared" ca="1" si="83"/>
        <v>F4FC</v>
      </c>
    </row>
    <row r="741" spans="2:15">
      <c r="B741" s="48">
        <f t="shared" ca="1" si="84"/>
        <v>59767</v>
      </c>
      <c r="C741" s="49">
        <f ca="1">BitXOR(B741, $V$16)</f>
        <v>60787</v>
      </c>
      <c r="D741" s="64">
        <f t="shared" ref="D741:D804" ca="1" si="85">Encrypt(B741, $D$2:$S$3, $D$6:$S$7, $V$10,$V$11,$V$12,$W$10,$W$11)</f>
        <v>58194</v>
      </c>
      <c r="E741" s="64">
        <f t="shared" ref="E741:E804" ca="1" si="86">Encrypt(C741, $D$2:$S$3, $D$6:$S$7, $V$10,$V$11,$V$12,$W$10,$W$11)</f>
        <v>41939</v>
      </c>
      <c r="F741" s="89"/>
      <c r="G741" s="89"/>
      <c r="H741" s="47" t="str">
        <f t="shared" ref="H741:H804" ca="1" si="87">DEC2HEX(B741,4)</f>
        <v>E977</v>
      </c>
      <c r="I741" s="89"/>
      <c r="J741" s="47" t="str">
        <f t="shared" ref="J741:J804" ca="1" si="88">DEC2HEX(C741,4)</f>
        <v>ED73</v>
      </c>
      <c r="K741" s="89"/>
      <c r="L741" s="89"/>
      <c r="M741" s="47" t="str">
        <f t="shared" ref="M741:M804" ca="1" si="89">DEC2HEX(D741,4)</f>
        <v>E352</v>
      </c>
      <c r="N741" s="89"/>
      <c r="O741" s="47" t="str">
        <f t="shared" ref="O741:O804" ca="1" si="90">DEC2HEX(E741,4)</f>
        <v>A3D3</v>
      </c>
    </row>
    <row r="742" spans="2:15">
      <c r="B742" s="48">
        <f t="shared" ca="1" si="84"/>
        <v>51396</v>
      </c>
      <c r="C742" s="49">
        <f ca="1">BitXOR(B742, $V$16)</f>
        <v>52416</v>
      </c>
      <c r="D742" s="64">
        <f t="shared" ca="1" si="85"/>
        <v>59906</v>
      </c>
      <c r="E742" s="64">
        <f t="shared" ca="1" si="86"/>
        <v>58126</v>
      </c>
      <c r="F742" s="89"/>
      <c r="G742" s="89"/>
      <c r="H742" s="47" t="str">
        <f t="shared" ca="1" si="87"/>
        <v>C8C4</v>
      </c>
      <c r="I742" s="89"/>
      <c r="J742" s="47" t="str">
        <f t="shared" ca="1" si="88"/>
        <v>CCC0</v>
      </c>
      <c r="K742" s="89"/>
      <c r="L742" s="89"/>
      <c r="M742" s="47" t="str">
        <f t="shared" ca="1" si="89"/>
        <v>EA02</v>
      </c>
      <c r="N742" s="89"/>
      <c r="O742" s="47" t="str">
        <f t="shared" ca="1" si="90"/>
        <v>E30E</v>
      </c>
    </row>
    <row r="743" spans="2:15">
      <c r="B743" s="48">
        <f t="shared" ca="1" si="84"/>
        <v>12871</v>
      </c>
      <c r="C743" s="49">
        <f ca="1">BitXOR(B743, $V$16)</f>
        <v>13891</v>
      </c>
      <c r="D743" s="64">
        <f t="shared" ca="1" si="85"/>
        <v>4500</v>
      </c>
      <c r="E743" s="64">
        <f t="shared" ca="1" si="86"/>
        <v>6132</v>
      </c>
      <c r="F743" s="89"/>
      <c r="G743" s="89"/>
      <c r="H743" s="47" t="str">
        <f t="shared" ca="1" si="87"/>
        <v>3247</v>
      </c>
      <c r="I743" s="89"/>
      <c r="J743" s="47" t="str">
        <f t="shared" ca="1" si="88"/>
        <v>3643</v>
      </c>
      <c r="K743" s="89"/>
      <c r="L743" s="89"/>
      <c r="M743" s="47" t="str">
        <f t="shared" ca="1" si="89"/>
        <v>1194</v>
      </c>
      <c r="N743" s="89"/>
      <c r="O743" s="47" t="str">
        <f t="shared" ca="1" si="90"/>
        <v>17F4</v>
      </c>
    </row>
    <row r="744" spans="2:15">
      <c r="B744" s="48">
        <f t="shared" ca="1" si="84"/>
        <v>57150</v>
      </c>
      <c r="C744" s="49">
        <f ca="1">BitXOR(B744, $V$16)</f>
        <v>56122</v>
      </c>
      <c r="D744" s="64">
        <f t="shared" ca="1" si="85"/>
        <v>47048</v>
      </c>
      <c r="E744" s="64">
        <f t="shared" ca="1" si="86"/>
        <v>28895</v>
      </c>
      <c r="F744" s="89"/>
      <c r="G744" s="89"/>
      <c r="H744" s="47" t="str">
        <f t="shared" ca="1" si="87"/>
        <v>DF3E</v>
      </c>
      <c r="I744" s="89"/>
      <c r="J744" s="47" t="str">
        <f t="shared" ca="1" si="88"/>
        <v>DB3A</v>
      </c>
      <c r="K744" s="89"/>
      <c r="L744" s="89"/>
      <c r="M744" s="47" t="str">
        <f t="shared" ca="1" si="89"/>
        <v>B7C8</v>
      </c>
      <c r="N744" s="89"/>
      <c r="O744" s="47" t="str">
        <f t="shared" ca="1" si="90"/>
        <v>70DF</v>
      </c>
    </row>
    <row r="745" spans="2:15">
      <c r="B745" s="48">
        <f t="shared" ca="1" si="84"/>
        <v>32726</v>
      </c>
      <c r="C745" s="49">
        <f ca="1">BitXOR(B745, $V$16)</f>
        <v>31698</v>
      </c>
      <c r="D745" s="64">
        <f t="shared" ca="1" si="85"/>
        <v>16902</v>
      </c>
      <c r="E745" s="64">
        <f t="shared" ca="1" si="86"/>
        <v>57631</v>
      </c>
      <c r="F745" s="89"/>
      <c r="G745" s="89"/>
      <c r="H745" s="47" t="str">
        <f t="shared" ca="1" si="87"/>
        <v>7FD6</v>
      </c>
      <c r="I745" s="89"/>
      <c r="J745" s="47" t="str">
        <f t="shared" ca="1" si="88"/>
        <v>7BD2</v>
      </c>
      <c r="K745" s="89"/>
      <c r="L745" s="89"/>
      <c r="M745" s="47" t="str">
        <f t="shared" ca="1" si="89"/>
        <v>4206</v>
      </c>
      <c r="N745" s="89"/>
      <c r="O745" s="47" t="str">
        <f t="shared" ca="1" si="90"/>
        <v>E11F</v>
      </c>
    </row>
    <row r="746" spans="2:15">
      <c r="B746" s="48">
        <f t="shared" ca="1" si="84"/>
        <v>24637</v>
      </c>
      <c r="C746" s="49">
        <f ca="1">BitXOR(B746, $V$16)</f>
        <v>25657</v>
      </c>
      <c r="D746" s="64">
        <f t="shared" ca="1" si="85"/>
        <v>22120</v>
      </c>
      <c r="E746" s="64">
        <f t="shared" ca="1" si="86"/>
        <v>47766</v>
      </c>
      <c r="F746" s="89"/>
      <c r="G746" s="89"/>
      <c r="H746" s="47" t="str">
        <f t="shared" ca="1" si="87"/>
        <v>603D</v>
      </c>
      <c r="I746" s="89"/>
      <c r="J746" s="47" t="str">
        <f t="shared" ca="1" si="88"/>
        <v>6439</v>
      </c>
      <c r="K746" s="89"/>
      <c r="L746" s="89"/>
      <c r="M746" s="47" t="str">
        <f t="shared" ca="1" si="89"/>
        <v>5668</v>
      </c>
      <c r="N746" s="89"/>
      <c r="O746" s="47" t="str">
        <f t="shared" ca="1" si="90"/>
        <v>BA96</v>
      </c>
    </row>
    <row r="747" spans="2:15">
      <c r="B747" s="48">
        <f t="shared" ca="1" si="84"/>
        <v>11264</v>
      </c>
      <c r="C747" s="49">
        <f ca="1">BitXOR(B747, $V$16)</f>
        <v>10244</v>
      </c>
      <c r="D747" s="64">
        <f t="shared" ca="1" si="85"/>
        <v>37644</v>
      </c>
      <c r="E747" s="64">
        <f t="shared" ca="1" si="86"/>
        <v>42040</v>
      </c>
      <c r="F747" s="89"/>
      <c r="G747" s="89"/>
      <c r="H747" s="47" t="str">
        <f t="shared" ca="1" si="87"/>
        <v>2C00</v>
      </c>
      <c r="I747" s="89"/>
      <c r="J747" s="47" t="str">
        <f t="shared" ca="1" si="88"/>
        <v>2804</v>
      </c>
      <c r="K747" s="89"/>
      <c r="L747" s="89"/>
      <c r="M747" s="47" t="str">
        <f t="shared" ca="1" si="89"/>
        <v>930C</v>
      </c>
      <c r="N747" s="89"/>
      <c r="O747" s="47" t="str">
        <f t="shared" ca="1" si="90"/>
        <v>A438</v>
      </c>
    </row>
    <row r="748" spans="2:15">
      <c r="B748" s="48">
        <f t="shared" ca="1" si="84"/>
        <v>30661</v>
      </c>
      <c r="C748" s="49">
        <f ca="1">BitXOR(B748, $V$16)</f>
        <v>29633</v>
      </c>
      <c r="D748" s="64">
        <f t="shared" ca="1" si="85"/>
        <v>36895</v>
      </c>
      <c r="E748" s="64">
        <f t="shared" ca="1" si="86"/>
        <v>48918</v>
      </c>
      <c r="F748" s="89"/>
      <c r="G748" s="89"/>
      <c r="H748" s="47" t="str">
        <f t="shared" ca="1" si="87"/>
        <v>77C5</v>
      </c>
      <c r="I748" s="89"/>
      <c r="J748" s="47" t="str">
        <f t="shared" ca="1" si="88"/>
        <v>73C1</v>
      </c>
      <c r="K748" s="89"/>
      <c r="L748" s="89"/>
      <c r="M748" s="47" t="str">
        <f t="shared" ca="1" si="89"/>
        <v>901F</v>
      </c>
      <c r="N748" s="89"/>
      <c r="O748" s="47" t="str">
        <f t="shared" ca="1" si="90"/>
        <v>BF16</v>
      </c>
    </row>
    <row r="749" spans="2:15">
      <c r="B749" s="48">
        <f t="shared" ca="1" si="84"/>
        <v>10752</v>
      </c>
      <c r="C749" s="49">
        <f ca="1">BitXOR(B749, $V$16)</f>
        <v>11780</v>
      </c>
      <c r="D749" s="64">
        <f t="shared" ca="1" si="85"/>
        <v>38852</v>
      </c>
      <c r="E749" s="64">
        <f t="shared" ca="1" si="86"/>
        <v>38708</v>
      </c>
      <c r="F749" s="89"/>
      <c r="G749" s="89"/>
      <c r="H749" s="47" t="str">
        <f t="shared" ca="1" si="87"/>
        <v>2A00</v>
      </c>
      <c r="I749" s="89"/>
      <c r="J749" s="47" t="str">
        <f t="shared" ca="1" si="88"/>
        <v>2E04</v>
      </c>
      <c r="K749" s="89"/>
      <c r="L749" s="89"/>
      <c r="M749" s="47" t="str">
        <f t="shared" ca="1" si="89"/>
        <v>97C4</v>
      </c>
      <c r="N749" s="89"/>
      <c r="O749" s="47" t="str">
        <f t="shared" ca="1" si="90"/>
        <v>9734</v>
      </c>
    </row>
    <row r="750" spans="2:15">
      <c r="B750" s="48">
        <f t="shared" ca="1" si="84"/>
        <v>13386</v>
      </c>
      <c r="C750" s="49">
        <f ca="1">BitXOR(B750, $V$16)</f>
        <v>12366</v>
      </c>
      <c r="D750" s="64">
        <f t="shared" ca="1" si="85"/>
        <v>18755</v>
      </c>
      <c r="E750" s="64">
        <f t="shared" ca="1" si="86"/>
        <v>39420</v>
      </c>
      <c r="F750" s="89"/>
      <c r="G750" s="89"/>
      <c r="H750" s="47" t="str">
        <f t="shared" ca="1" si="87"/>
        <v>344A</v>
      </c>
      <c r="I750" s="89"/>
      <c r="J750" s="47" t="str">
        <f t="shared" ca="1" si="88"/>
        <v>304E</v>
      </c>
      <c r="K750" s="89"/>
      <c r="L750" s="89"/>
      <c r="M750" s="47" t="str">
        <f t="shared" ca="1" si="89"/>
        <v>4943</v>
      </c>
      <c r="N750" s="89"/>
      <c r="O750" s="47" t="str">
        <f t="shared" ca="1" si="90"/>
        <v>99FC</v>
      </c>
    </row>
    <row r="751" spans="2:15">
      <c r="B751" s="48">
        <f t="shared" ca="1" si="84"/>
        <v>57725</v>
      </c>
      <c r="C751" s="49">
        <f ca="1">BitXOR(B751, $V$16)</f>
        <v>58745</v>
      </c>
      <c r="D751" s="64">
        <f t="shared" ca="1" si="85"/>
        <v>21591</v>
      </c>
      <c r="E751" s="64">
        <f t="shared" ca="1" si="86"/>
        <v>45315</v>
      </c>
      <c r="F751" s="89"/>
      <c r="G751" s="89"/>
      <c r="H751" s="47" t="str">
        <f t="shared" ca="1" si="87"/>
        <v>E17D</v>
      </c>
      <c r="I751" s="89"/>
      <c r="J751" s="47" t="str">
        <f t="shared" ca="1" si="88"/>
        <v>E579</v>
      </c>
      <c r="K751" s="89"/>
      <c r="L751" s="89"/>
      <c r="M751" s="47" t="str">
        <f t="shared" ca="1" si="89"/>
        <v>5457</v>
      </c>
      <c r="N751" s="89"/>
      <c r="O751" s="47" t="str">
        <f t="shared" ca="1" si="90"/>
        <v>B103</v>
      </c>
    </row>
    <row r="752" spans="2:15">
      <c r="B752" s="48">
        <f t="shared" ca="1" si="84"/>
        <v>42962</v>
      </c>
      <c r="C752" s="49">
        <f ca="1">BitXOR(B752, $V$16)</f>
        <v>41942</v>
      </c>
      <c r="D752" s="64">
        <f t="shared" ca="1" si="85"/>
        <v>7157</v>
      </c>
      <c r="E752" s="64">
        <f t="shared" ca="1" si="86"/>
        <v>49607</v>
      </c>
      <c r="F752" s="89"/>
      <c r="G752" s="89"/>
      <c r="H752" s="47" t="str">
        <f t="shared" ca="1" si="87"/>
        <v>A7D2</v>
      </c>
      <c r="I752" s="89"/>
      <c r="J752" s="47" t="str">
        <f t="shared" ca="1" si="88"/>
        <v>A3D6</v>
      </c>
      <c r="K752" s="89"/>
      <c r="L752" s="89"/>
      <c r="M752" s="47" t="str">
        <f t="shared" ca="1" si="89"/>
        <v>1BF5</v>
      </c>
      <c r="N752" s="89"/>
      <c r="O752" s="47" t="str">
        <f t="shared" ca="1" si="90"/>
        <v>C1C7</v>
      </c>
    </row>
    <row r="753" spans="2:15">
      <c r="B753" s="48">
        <f t="shared" ca="1" si="84"/>
        <v>11643</v>
      </c>
      <c r="C753" s="49">
        <f ca="1">BitXOR(B753, $V$16)</f>
        <v>10623</v>
      </c>
      <c r="D753" s="64">
        <f t="shared" ca="1" si="85"/>
        <v>31941</v>
      </c>
      <c r="E753" s="64">
        <f t="shared" ca="1" si="86"/>
        <v>16179</v>
      </c>
      <c r="F753" s="89"/>
      <c r="G753" s="89"/>
      <c r="H753" s="47" t="str">
        <f t="shared" ca="1" si="87"/>
        <v>2D7B</v>
      </c>
      <c r="I753" s="89"/>
      <c r="J753" s="47" t="str">
        <f t="shared" ca="1" si="88"/>
        <v>297F</v>
      </c>
      <c r="K753" s="89"/>
      <c r="L753" s="89"/>
      <c r="M753" s="47" t="str">
        <f t="shared" ca="1" si="89"/>
        <v>7CC5</v>
      </c>
      <c r="N753" s="89"/>
      <c r="O753" s="47" t="str">
        <f t="shared" ca="1" si="90"/>
        <v>3F33</v>
      </c>
    </row>
    <row r="754" spans="2:15">
      <c r="B754" s="48">
        <f t="shared" ca="1" si="84"/>
        <v>27435</v>
      </c>
      <c r="C754" s="49">
        <f ca="1">BitXOR(B754, $V$16)</f>
        <v>28463</v>
      </c>
      <c r="D754" s="64">
        <f t="shared" ca="1" si="85"/>
        <v>17273</v>
      </c>
      <c r="E754" s="64">
        <f t="shared" ca="1" si="86"/>
        <v>57965</v>
      </c>
      <c r="F754" s="89"/>
      <c r="G754" s="89"/>
      <c r="H754" s="47" t="str">
        <f t="shared" ca="1" si="87"/>
        <v>6B2B</v>
      </c>
      <c r="I754" s="89"/>
      <c r="J754" s="47" t="str">
        <f t="shared" ca="1" si="88"/>
        <v>6F2F</v>
      </c>
      <c r="K754" s="89"/>
      <c r="L754" s="89"/>
      <c r="M754" s="47" t="str">
        <f t="shared" ca="1" si="89"/>
        <v>4379</v>
      </c>
      <c r="N754" s="89"/>
      <c r="O754" s="47" t="str">
        <f t="shared" ca="1" si="90"/>
        <v>E26D</v>
      </c>
    </row>
    <row r="755" spans="2:15">
      <c r="B755" s="48">
        <f t="shared" ca="1" si="84"/>
        <v>45055</v>
      </c>
      <c r="C755" s="49">
        <f ca="1">BitXOR(B755, $V$16)</f>
        <v>44027</v>
      </c>
      <c r="D755" s="64">
        <f t="shared" ca="1" si="85"/>
        <v>10017</v>
      </c>
      <c r="E755" s="64">
        <f t="shared" ca="1" si="86"/>
        <v>24903</v>
      </c>
      <c r="F755" s="89"/>
      <c r="G755" s="89"/>
      <c r="H755" s="47" t="str">
        <f t="shared" ca="1" si="87"/>
        <v>AFFF</v>
      </c>
      <c r="I755" s="89"/>
      <c r="J755" s="47" t="str">
        <f t="shared" ca="1" si="88"/>
        <v>ABFB</v>
      </c>
      <c r="K755" s="89"/>
      <c r="L755" s="89"/>
      <c r="M755" s="47" t="str">
        <f t="shared" ca="1" si="89"/>
        <v>2721</v>
      </c>
      <c r="N755" s="89"/>
      <c r="O755" s="47" t="str">
        <f t="shared" ca="1" si="90"/>
        <v>6147</v>
      </c>
    </row>
    <row r="756" spans="2:15">
      <c r="B756" s="48">
        <f t="shared" ca="1" si="84"/>
        <v>55319</v>
      </c>
      <c r="C756" s="49">
        <f ca="1">BitXOR(B756, $V$16)</f>
        <v>56339</v>
      </c>
      <c r="D756" s="64">
        <f t="shared" ca="1" si="85"/>
        <v>10462</v>
      </c>
      <c r="E756" s="64">
        <f t="shared" ca="1" si="86"/>
        <v>10697</v>
      </c>
      <c r="F756" s="89"/>
      <c r="G756" s="89"/>
      <c r="H756" s="47" t="str">
        <f t="shared" ca="1" si="87"/>
        <v>D817</v>
      </c>
      <c r="I756" s="89"/>
      <c r="J756" s="47" t="str">
        <f t="shared" ca="1" si="88"/>
        <v>DC13</v>
      </c>
      <c r="K756" s="89"/>
      <c r="L756" s="89"/>
      <c r="M756" s="47" t="str">
        <f t="shared" ca="1" si="89"/>
        <v>28DE</v>
      </c>
      <c r="N756" s="89"/>
      <c r="O756" s="47" t="str">
        <f t="shared" ca="1" si="90"/>
        <v>29C9</v>
      </c>
    </row>
    <row r="757" spans="2:15">
      <c r="B757" s="48">
        <f t="shared" ca="1" si="84"/>
        <v>41200</v>
      </c>
      <c r="C757" s="49">
        <f ca="1">BitXOR(B757, $V$16)</f>
        <v>42228</v>
      </c>
      <c r="D757" s="64">
        <f t="shared" ca="1" si="85"/>
        <v>4578</v>
      </c>
      <c r="E757" s="64">
        <f t="shared" ca="1" si="86"/>
        <v>48119</v>
      </c>
      <c r="F757" s="89"/>
      <c r="G757" s="89"/>
      <c r="H757" s="47" t="str">
        <f t="shared" ca="1" si="87"/>
        <v>A0F0</v>
      </c>
      <c r="I757" s="89"/>
      <c r="J757" s="47" t="str">
        <f t="shared" ca="1" si="88"/>
        <v>A4F4</v>
      </c>
      <c r="K757" s="89"/>
      <c r="L757" s="89"/>
      <c r="M757" s="47" t="str">
        <f t="shared" ca="1" si="89"/>
        <v>11E2</v>
      </c>
      <c r="N757" s="89"/>
      <c r="O757" s="47" t="str">
        <f t="shared" ca="1" si="90"/>
        <v>BBF7</v>
      </c>
    </row>
    <row r="758" spans="2:15">
      <c r="B758" s="48">
        <f t="shared" ca="1" si="84"/>
        <v>57363</v>
      </c>
      <c r="C758" s="49">
        <f ca="1">BitXOR(B758, $V$16)</f>
        <v>58391</v>
      </c>
      <c r="D758" s="64">
        <f t="shared" ca="1" si="85"/>
        <v>51466</v>
      </c>
      <c r="E758" s="64">
        <f t="shared" ca="1" si="86"/>
        <v>51534</v>
      </c>
      <c r="F758" s="89"/>
      <c r="G758" s="89"/>
      <c r="H758" s="47" t="str">
        <f t="shared" ca="1" si="87"/>
        <v>E013</v>
      </c>
      <c r="I758" s="89"/>
      <c r="J758" s="47" t="str">
        <f t="shared" ca="1" si="88"/>
        <v>E417</v>
      </c>
      <c r="K758" s="89"/>
      <c r="L758" s="89"/>
      <c r="M758" s="47" t="str">
        <f t="shared" ca="1" si="89"/>
        <v>C90A</v>
      </c>
      <c r="N758" s="89"/>
      <c r="O758" s="47" t="str">
        <f t="shared" ca="1" si="90"/>
        <v>C94E</v>
      </c>
    </row>
    <row r="759" spans="2:15">
      <c r="B759" s="48">
        <f t="shared" ca="1" si="84"/>
        <v>37394</v>
      </c>
      <c r="C759" s="49">
        <f ca="1">BitXOR(B759, $V$16)</f>
        <v>38422</v>
      </c>
      <c r="D759" s="64">
        <f t="shared" ca="1" si="85"/>
        <v>27849</v>
      </c>
      <c r="E759" s="64">
        <f t="shared" ca="1" si="86"/>
        <v>23525</v>
      </c>
      <c r="F759" s="89"/>
      <c r="G759" s="89"/>
      <c r="H759" s="47" t="str">
        <f t="shared" ca="1" si="87"/>
        <v>9212</v>
      </c>
      <c r="I759" s="89"/>
      <c r="J759" s="47" t="str">
        <f t="shared" ca="1" si="88"/>
        <v>9616</v>
      </c>
      <c r="K759" s="89"/>
      <c r="L759" s="89"/>
      <c r="M759" s="47" t="str">
        <f t="shared" ca="1" si="89"/>
        <v>6CC9</v>
      </c>
      <c r="N759" s="89"/>
      <c r="O759" s="47" t="str">
        <f t="shared" ca="1" si="90"/>
        <v>5BE5</v>
      </c>
    </row>
    <row r="760" spans="2:15">
      <c r="B760" s="48">
        <f t="shared" ca="1" si="84"/>
        <v>41200</v>
      </c>
      <c r="C760" s="49">
        <f ca="1">BitXOR(B760, $V$16)</f>
        <v>42228</v>
      </c>
      <c r="D760" s="64">
        <f t="shared" ca="1" si="85"/>
        <v>4578</v>
      </c>
      <c r="E760" s="64">
        <f t="shared" ca="1" si="86"/>
        <v>48119</v>
      </c>
      <c r="F760" s="89"/>
      <c r="G760" s="89"/>
      <c r="H760" s="47" t="str">
        <f t="shared" ca="1" si="87"/>
        <v>A0F0</v>
      </c>
      <c r="I760" s="89"/>
      <c r="J760" s="47" t="str">
        <f t="shared" ca="1" si="88"/>
        <v>A4F4</v>
      </c>
      <c r="K760" s="89"/>
      <c r="L760" s="89"/>
      <c r="M760" s="47" t="str">
        <f t="shared" ca="1" si="89"/>
        <v>11E2</v>
      </c>
      <c r="N760" s="89"/>
      <c r="O760" s="47" t="str">
        <f t="shared" ca="1" si="90"/>
        <v>BBF7</v>
      </c>
    </row>
    <row r="761" spans="2:15">
      <c r="B761" s="48">
        <f t="shared" ca="1" si="84"/>
        <v>5075</v>
      </c>
      <c r="C761" s="49">
        <f ca="1">BitXOR(B761, $V$16)</f>
        <v>6103</v>
      </c>
      <c r="D761" s="64">
        <f t="shared" ca="1" si="85"/>
        <v>50076</v>
      </c>
      <c r="E761" s="64">
        <f t="shared" ca="1" si="86"/>
        <v>59379</v>
      </c>
      <c r="F761" s="89"/>
      <c r="G761" s="89"/>
      <c r="H761" s="47" t="str">
        <f t="shared" ca="1" si="87"/>
        <v>13D3</v>
      </c>
      <c r="I761" s="89"/>
      <c r="J761" s="47" t="str">
        <f t="shared" ca="1" si="88"/>
        <v>17D7</v>
      </c>
      <c r="K761" s="89"/>
      <c r="L761" s="89"/>
      <c r="M761" s="47" t="str">
        <f t="shared" ca="1" si="89"/>
        <v>C39C</v>
      </c>
      <c r="N761" s="89"/>
      <c r="O761" s="47" t="str">
        <f t="shared" ca="1" si="90"/>
        <v>E7F3</v>
      </c>
    </row>
    <row r="762" spans="2:15">
      <c r="B762" s="48">
        <f t="shared" ca="1" si="84"/>
        <v>32700</v>
      </c>
      <c r="C762" s="49">
        <f ca="1">BitXOR(B762, $V$16)</f>
        <v>31672</v>
      </c>
      <c r="D762" s="64">
        <f t="shared" ca="1" si="85"/>
        <v>35738</v>
      </c>
      <c r="E762" s="64">
        <f t="shared" ca="1" si="86"/>
        <v>55141</v>
      </c>
      <c r="F762" s="89"/>
      <c r="G762" s="89"/>
      <c r="H762" s="47" t="str">
        <f t="shared" ca="1" si="87"/>
        <v>7FBC</v>
      </c>
      <c r="I762" s="89"/>
      <c r="J762" s="47" t="str">
        <f t="shared" ca="1" si="88"/>
        <v>7BB8</v>
      </c>
      <c r="K762" s="89"/>
      <c r="L762" s="89"/>
      <c r="M762" s="47" t="str">
        <f t="shared" ca="1" si="89"/>
        <v>8B9A</v>
      </c>
      <c r="N762" s="89"/>
      <c r="O762" s="47" t="str">
        <f t="shared" ca="1" si="90"/>
        <v>D765</v>
      </c>
    </row>
    <row r="763" spans="2:15">
      <c r="B763" s="48">
        <f t="shared" ca="1" si="84"/>
        <v>49715</v>
      </c>
      <c r="C763" s="49">
        <f ca="1">BitXOR(B763, $V$16)</f>
        <v>50743</v>
      </c>
      <c r="D763" s="64">
        <f t="shared" ca="1" si="85"/>
        <v>30037</v>
      </c>
      <c r="E763" s="64">
        <f t="shared" ca="1" si="86"/>
        <v>30268</v>
      </c>
      <c r="F763" s="89"/>
      <c r="G763" s="89"/>
      <c r="H763" s="47" t="str">
        <f t="shared" ca="1" si="87"/>
        <v>C233</v>
      </c>
      <c r="I763" s="89"/>
      <c r="J763" s="47" t="str">
        <f t="shared" ca="1" si="88"/>
        <v>C637</v>
      </c>
      <c r="K763" s="89"/>
      <c r="L763" s="89"/>
      <c r="M763" s="47" t="str">
        <f t="shared" ca="1" si="89"/>
        <v>7555</v>
      </c>
      <c r="N763" s="89"/>
      <c r="O763" s="47" t="str">
        <f t="shared" ca="1" si="90"/>
        <v>763C</v>
      </c>
    </row>
    <row r="764" spans="2:15">
      <c r="B764" s="48">
        <f t="shared" ca="1" si="84"/>
        <v>33720</v>
      </c>
      <c r="C764" s="49">
        <f ca="1">BitXOR(B764, $V$16)</f>
        <v>34748</v>
      </c>
      <c r="D764" s="64">
        <f t="shared" ca="1" si="85"/>
        <v>56069</v>
      </c>
      <c r="E764" s="64">
        <f t="shared" ca="1" si="86"/>
        <v>21365</v>
      </c>
      <c r="F764" s="89"/>
      <c r="G764" s="89"/>
      <c r="H764" s="47" t="str">
        <f t="shared" ca="1" si="87"/>
        <v>83B8</v>
      </c>
      <c r="I764" s="89"/>
      <c r="J764" s="47" t="str">
        <f t="shared" ca="1" si="88"/>
        <v>87BC</v>
      </c>
      <c r="K764" s="89"/>
      <c r="L764" s="89"/>
      <c r="M764" s="47" t="str">
        <f t="shared" ca="1" si="89"/>
        <v>DB05</v>
      </c>
      <c r="N764" s="89"/>
      <c r="O764" s="47" t="str">
        <f t="shared" ca="1" si="90"/>
        <v>5375</v>
      </c>
    </row>
    <row r="765" spans="2:15">
      <c r="B765" s="48">
        <f t="shared" ca="1" si="84"/>
        <v>44985</v>
      </c>
      <c r="C765" s="49">
        <f ca="1">BitXOR(B765, $V$16)</f>
        <v>43965</v>
      </c>
      <c r="D765" s="64">
        <f t="shared" ca="1" si="85"/>
        <v>21296</v>
      </c>
      <c r="E765" s="64">
        <f t="shared" ca="1" si="86"/>
        <v>16104</v>
      </c>
      <c r="F765" s="89"/>
      <c r="G765" s="89"/>
      <c r="H765" s="47" t="str">
        <f t="shared" ca="1" si="87"/>
        <v>AFB9</v>
      </c>
      <c r="I765" s="89"/>
      <c r="J765" s="47" t="str">
        <f t="shared" ca="1" si="88"/>
        <v>ABBD</v>
      </c>
      <c r="K765" s="89"/>
      <c r="L765" s="89"/>
      <c r="M765" s="47" t="str">
        <f t="shared" ca="1" si="89"/>
        <v>5330</v>
      </c>
      <c r="N765" s="89"/>
      <c r="O765" s="47" t="str">
        <f t="shared" ca="1" si="90"/>
        <v>3EE8</v>
      </c>
    </row>
    <row r="766" spans="2:15">
      <c r="B766" s="48">
        <f t="shared" ca="1" si="84"/>
        <v>34671</v>
      </c>
      <c r="C766" s="49">
        <f ca="1">BitXOR(B766, $V$16)</f>
        <v>33643</v>
      </c>
      <c r="D766" s="64">
        <f t="shared" ca="1" si="85"/>
        <v>54747</v>
      </c>
      <c r="E766" s="64">
        <f t="shared" ca="1" si="86"/>
        <v>13541</v>
      </c>
      <c r="F766" s="89"/>
      <c r="G766" s="89"/>
      <c r="H766" s="47" t="str">
        <f t="shared" ca="1" si="87"/>
        <v>876F</v>
      </c>
      <c r="I766" s="89"/>
      <c r="J766" s="47" t="str">
        <f t="shared" ca="1" si="88"/>
        <v>836B</v>
      </c>
      <c r="K766" s="89"/>
      <c r="L766" s="89"/>
      <c r="M766" s="47" t="str">
        <f t="shared" ca="1" si="89"/>
        <v>D5DB</v>
      </c>
      <c r="N766" s="89"/>
      <c r="O766" s="47" t="str">
        <f t="shared" ca="1" si="90"/>
        <v>34E5</v>
      </c>
    </row>
    <row r="767" spans="2:15">
      <c r="B767" s="48">
        <f t="shared" ca="1" si="84"/>
        <v>64324</v>
      </c>
      <c r="C767" s="49">
        <f ca="1">BitXOR(B767, $V$16)</f>
        <v>65344</v>
      </c>
      <c r="D767" s="64">
        <f t="shared" ca="1" si="85"/>
        <v>46352</v>
      </c>
      <c r="E767" s="64">
        <f t="shared" ca="1" si="86"/>
        <v>37060</v>
      </c>
      <c r="F767" s="89"/>
      <c r="G767" s="89"/>
      <c r="H767" s="47" t="str">
        <f t="shared" ca="1" si="87"/>
        <v>FB44</v>
      </c>
      <c r="I767" s="89"/>
      <c r="J767" s="47" t="str">
        <f t="shared" ca="1" si="88"/>
        <v>FF40</v>
      </c>
      <c r="K767" s="89"/>
      <c r="L767" s="89"/>
      <c r="M767" s="47" t="str">
        <f t="shared" ca="1" si="89"/>
        <v>B510</v>
      </c>
      <c r="N767" s="89"/>
      <c r="O767" s="47" t="str">
        <f t="shared" ca="1" si="90"/>
        <v>90C4</v>
      </c>
    </row>
    <row r="768" spans="2:15">
      <c r="B768" s="48">
        <f t="shared" ca="1" si="84"/>
        <v>45267</v>
      </c>
      <c r="C768" s="49">
        <f ca="1">BitXOR(B768, $V$16)</f>
        <v>46295</v>
      </c>
      <c r="D768" s="64">
        <f t="shared" ca="1" si="85"/>
        <v>6793</v>
      </c>
      <c r="E768" s="64">
        <f t="shared" ca="1" si="86"/>
        <v>6839</v>
      </c>
      <c r="F768" s="89"/>
      <c r="G768" s="89"/>
      <c r="H768" s="47" t="str">
        <f t="shared" ca="1" si="87"/>
        <v>B0D3</v>
      </c>
      <c r="I768" s="89"/>
      <c r="J768" s="47" t="str">
        <f t="shared" ca="1" si="88"/>
        <v>B4D7</v>
      </c>
      <c r="K768" s="89"/>
      <c r="L768" s="89"/>
      <c r="M768" s="47" t="str">
        <f t="shared" ca="1" si="89"/>
        <v>1A89</v>
      </c>
      <c r="N768" s="89"/>
      <c r="O768" s="47" t="str">
        <f t="shared" ca="1" si="90"/>
        <v>1AB7</v>
      </c>
    </row>
    <row r="769" spans="2:15">
      <c r="B769" s="48">
        <f t="shared" ca="1" si="84"/>
        <v>19625</v>
      </c>
      <c r="C769" s="49">
        <f ca="1">BitXOR(B769, $V$16)</f>
        <v>18605</v>
      </c>
      <c r="D769" s="64">
        <f t="shared" ca="1" si="85"/>
        <v>11160</v>
      </c>
      <c r="E769" s="64">
        <f t="shared" ca="1" si="86"/>
        <v>17761</v>
      </c>
      <c r="F769" s="89"/>
      <c r="G769" s="89"/>
      <c r="H769" s="47" t="str">
        <f t="shared" ca="1" si="87"/>
        <v>4CA9</v>
      </c>
      <c r="I769" s="89"/>
      <c r="J769" s="47" t="str">
        <f t="shared" ca="1" si="88"/>
        <v>48AD</v>
      </c>
      <c r="K769" s="89"/>
      <c r="L769" s="89"/>
      <c r="M769" s="47" t="str">
        <f t="shared" ca="1" si="89"/>
        <v>2B98</v>
      </c>
      <c r="N769" s="89"/>
      <c r="O769" s="47" t="str">
        <f t="shared" ca="1" si="90"/>
        <v>4561</v>
      </c>
    </row>
    <row r="770" spans="2:15">
      <c r="B770" s="48">
        <f t="shared" ca="1" si="84"/>
        <v>53789</v>
      </c>
      <c r="C770" s="49">
        <f ca="1">BitXOR(B770, $V$16)</f>
        <v>54809</v>
      </c>
      <c r="D770" s="64">
        <f t="shared" ca="1" si="85"/>
        <v>14245</v>
      </c>
      <c r="E770" s="64">
        <f t="shared" ca="1" si="86"/>
        <v>16089</v>
      </c>
      <c r="F770" s="89"/>
      <c r="G770" s="89"/>
      <c r="H770" s="47" t="str">
        <f t="shared" ca="1" si="87"/>
        <v>D21D</v>
      </c>
      <c r="I770" s="89"/>
      <c r="J770" s="47" t="str">
        <f t="shared" ca="1" si="88"/>
        <v>D619</v>
      </c>
      <c r="K770" s="89"/>
      <c r="L770" s="89"/>
      <c r="M770" s="47" t="str">
        <f t="shared" ca="1" si="89"/>
        <v>37A5</v>
      </c>
      <c r="N770" s="89"/>
      <c r="O770" s="47" t="str">
        <f t="shared" ca="1" si="90"/>
        <v>3ED9</v>
      </c>
    </row>
    <row r="771" spans="2:15">
      <c r="B771" s="48">
        <f t="shared" ca="1" si="84"/>
        <v>45878</v>
      </c>
      <c r="C771" s="49">
        <f ca="1">BitXOR(B771, $V$16)</f>
        <v>46898</v>
      </c>
      <c r="D771" s="64">
        <f t="shared" ca="1" si="85"/>
        <v>22349</v>
      </c>
      <c r="E771" s="64">
        <f t="shared" ca="1" si="86"/>
        <v>12933</v>
      </c>
      <c r="F771" s="89"/>
      <c r="G771" s="89"/>
      <c r="H771" s="47" t="str">
        <f t="shared" ca="1" si="87"/>
        <v>B336</v>
      </c>
      <c r="I771" s="89"/>
      <c r="J771" s="47" t="str">
        <f t="shared" ca="1" si="88"/>
        <v>B732</v>
      </c>
      <c r="K771" s="89"/>
      <c r="L771" s="89"/>
      <c r="M771" s="47" t="str">
        <f t="shared" ca="1" si="89"/>
        <v>574D</v>
      </c>
      <c r="N771" s="89"/>
      <c r="O771" s="47" t="str">
        <f t="shared" ca="1" si="90"/>
        <v>3285</v>
      </c>
    </row>
    <row r="772" spans="2:15">
      <c r="B772" s="48">
        <f t="shared" ca="1" si="84"/>
        <v>21606</v>
      </c>
      <c r="C772" s="49">
        <f ca="1">BitXOR(B772, $V$16)</f>
        <v>20578</v>
      </c>
      <c r="D772" s="64">
        <f t="shared" ca="1" si="85"/>
        <v>35428</v>
      </c>
      <c r="E772" s="64">
        <f t="shared" ca="1" si="86"/>
        <v>38190</v>
      </c>
      <c r="F772" s="89"/>
      <c r="G772" s="89"/>
      <c r="H772" s="47" t="str">
        <f t="shared" ca="1" si="87"/>
        <v>5466</v>
      </c>
      <c r="I772" s="89"/>
      <c r="J772" s="47" t="str">
        <f t="shared" ca="1" si="88"/>
        <v>5062</v>
      </c>
      <c r="K772" s="89"/>
      <c r="L772" s="89"/>
      <c r="M772" s="47" t="str">
        <f t="shared" ca="1" si="89"/>
        <v>8A64</v>
      </c>
      <c r="N772" s="89"/>
      <c r="O772" s="47" t="str">
        <f t="shared" ca="1" si="90"/>
        <v>952E</v>
      </c>
    </row>
    <row r="773" spans="2:15">
      <c r="B773" s="48">
        <f t="shared" ca="1" si="84"/>
        <v>42467</v>
      </c>
      <c r="C773" s="49">
        <f ca="1">BitXOR(B773, $V$16)</f>
        <v>41447</v>
      </c>
      <c r="D773" s="64">
        <f t="shared" ca="1" si="85"/>
        <v>24227</v>
      </c>
      <c r="E773" s="64">
        <f t="shared" ca="1" si="86"/>
        <v>36654</v>
      </c>
      <c r="F773" s="89"/>
      <c r="G773" s="89"/>
      <c r="H773" s="47" t="str">
        <f t="shared" ca="1" si="87"/>
        <v>A5E3</v>
      </c>
      <c r="I773" s="89"/>
      <c r="J773" s="47" t="str">
        <f t="shared" ca="1" si="88"/>
        <v>A1E7</v>
      </c>
      <c r="K773" s="89"/>
      <c r="L773" s="89"/>
      <c r="M773" s="47" t="str">
        <f t="shared" ca="1" si="89"/>
        <v>5EA3</v>
      </c>
      <c r="N773" s="89"/>
      <c r="O773" s="47" t="str">
        <f t="shared" ca="1" si="90"/>
        <v>8F2E</v>
      </c>
    </row>
    <row r="774" spans="2:15">
      <c r="B774" s="48">
        <f t="shared" ca="1" si="84"/>
        <v>40260</v>
      </c>
      <c r="C774" s="49">
        <f ca="1">BitXOR(B774, $V$16)</f>
        <v>39232</v>
      </c>
      <c r="D774" s="64">
        <f t="shared" ca="1" si="85"/>
        <v>17112</v>
      </c>
      <c r="E774" s="64">
        <f t="shared" ca="1" si="86"/>
        <v>64842</v>
      </c>
      <c r="F774" s="89"/>
      <c r="G774" s="89"/>
      <c r="H774" s="47" t="str">
        <f t="shared" ca="1" si="87"/>
        <v>9D44</v>
      </c>
      <c r="I774" s="89"/>
      <c r="J774" s="47" t="str">
        <f t="shared" ca="1" si="88"/>
        <v>9940</v>
      </c>
      <c r="K774" s="89"/>
      <c r="L774" s="89"/>
      <c r="M774" s="47" t="str">
        <f t="shared" ca="1" si="89"/>
        <v>42D8</v>
      </c>
      <c r="N774" s="89"/>
      <c r="O774" s="47" t="str">
        <f t="shared" ca="1" si="90"/>
        <v>FD4A</v>
      </c>
    </row>
    <row r="775" spans="2:15">
      <c r="B775" s="48">
        <f t="shared" ca="1" si="84"/>
        <v>55957</v>
      </c>
      <c r="C775" s="49">
        <f ca="1">BitXOR(B775, $V$16)</f>
        <v>56977</v>
      </c>
      <c r="D775" s="64">
        <f t="shared" ca="1" si="85"/>
        <v>62329</v>
      </c>
      <c r="E775" s="64">
        <f t="shared" ca="1" si="86"/>
        <v>17184</v>
      </c>
      <c r="F775" s="89"/>
      <c r="G775" s="89"/>
      <c r="H775" s="47" t="str">
        <f t="shared" ca="1" si="87"/>
        <v>DA95</v>
      </c>
      <c r="I775" s="89"/>
      <c r="J775" s="47" t="str">
        <f t="shared" ca="1" si="88"/>
        <v>DE91</v>
      </c>
      <c r="K775" s="89"/>
      <c r="L775" s="89"/>
      <c r="M775" s="47" t="str">
        <f t="shared" ca="1" si="89"/>
        <v>F379</v>
      </c>
      <c r="N775" s="89"/>
      <c r="O775" s="47" t="str">
        <f t="shared" ca="1" si="90"/>
        <v>4320</v>
      </c>
    </row>
    <row r="776" spans="2:15">
      <c r="B776" s="48">
        <f t="shared" ca="1" si="84"/>
        <v>38936</v>
      </c>
      <c r="C776" s="49">
        <f ca="1">BitXOR(B776, $V$16)</f>
        <v>39964</v>
      </c>
      <c r="D776" s="64">
        <f t="shared" ca="1" si="85"/>
        <v>23228</v>
      </c>
      <c r="E776" s="64">
        <f t="shared" ca="1" si="86"/>
        <v>52427</v>
      </c>
      <c r="F776" s="89"/>
      <c r="G776" s="89"/>
      <c r="H776" s="47" t="str">
        <f t="shared" ca="1" si="87"/>
        <v>9818</v>
      </c>
      <c r="I776" s="89"/>
      <c r="J776" s="47" t="str">
        <f t="shared" ca="1" si="88"/>
        <v>9C1C</v>
      </c>
      <c r="K776" s="89"/>
      <c r="L776" s="89"/>
      <c r="M776" s="47" t="str">
        <f t="shared" ca="1" si="89"/>
        <v>5ABC</v>
      </c>
      <c r="N776" s="89"/>
      <c r="O776" s="47" t="str">
        <f t="shared" ca="1" si="90"/>
        <v>CCCB</v>
      </c>
    </row>
    <row r="777" spans="2:15">
      <c r="B777" s="48">
        <f t="shared" ca="1" si="84"/>
        <v>10215</v>
      </c>
      <c r="C777" s="49">
        <f ca="1">BitXOR(B777, $V$16)</f>
        <v>9187</v>
      </c>
      <c r="D777" s="64">
        <f t="shared" ca="1" si="85"/>
        <v>45072</v>
      </c>
      <c r="E777" s="64">
        <f t="shared" ca="1" si="86"/>
        <v>20688</v>
      </c>
      <c r="F777" s="89"/>
      <c r="G777" s="89"/>
      <c r="H777" s="47" t="str">
        <f t="shared" ca="1" si="87"/>
        <v>27E7</v>
      </c>
      <c r="I777" s="89"/>
      <c r="J777" s="47" t="str">
        <f t="shared" ca="1" si="88"/>
        <v>23E3</v>
      </c>
      <c r="K777" s="89"/>
      <c r="L777" s="89"/>
      <c r="M777" s="47" t="str">
        <f t="shared" ca="1" si="89"/>
        <v>B010</v>
      </c>
      <c r="N777" s="89"/>
      <c r="O777" s="47" t="str">
        <f t="shared" ca="1" si="90"/>
        <v>50D0</v>
      </c>
    </row>
    <row r="778" spans="2:15">
      <c r="B778" s="48">
        <f t="shared" ca="1" si="84"/>
        <v>34169</v>
      </c>
      <c r="C778" s="49">
        <f ca="1">BitXOR(B778, $V$16)</f>
        <v>33149</v>
      </c>
      <c r="D778" s="64">
        <f t="shared" ca="1" si="85"/>
        <v>29701</v>
      </c>
      <c r="E778" s="64">
        <f t="shared" ca="1" si="86"/>
        <v>31270</v>
      </c>
      <c r="F778" s="89"/>
      <c r="G778" s="89"/>
      <c r="H778" s="47" t="str">
        <f t="shared" ca="1" si="87"/>
        <v>8579</v>
      </c>
      <c r="I778" s="89"/>
      <c r="J778" s="47" t="str">
        <f t="shared" ca="1" si="88"/>
        <v>817D</v>
      </c>
      <c r="K778" s="89"/>
      <c r="L778" s="89"/>
      <c r="M778" s="47" t="str">
        <f t="shared" ca="1" si="89"/>
        <v>7405</v>
      </c>
      <c r="N778" s="89"/>
      <c r="O778" s="47" t="str">
        <f t="shared" ca="1" si="90"/>
        <v>7A26</v>
      </c>
    </row>
    <row r="779" spans="2:15">
      <c r="B779" s="48">
        <f t="shared" ca="1" si="84"/>
        <v>3117</v>
      </c>
      <c r="C779" s="49">
        <f ca="1">BitXOR(B779, $V$16)</f>
        <v>2089</v>
      </c>
      <c r="D779" s="64">
        <f t="shared" ca="1" si="85"/>
        <v>9672</v>
      </c>
      <c r="E779" s="64">
        <f t="shared" ca="1" si="86"/>
        <v>25600</v>
      </c>
      <c r="F779" s="89"/>
      <c r="G779" s="89"/>
      <c r="H779" s="47" t="str">
        <f t="shared" ca="1" si="87"/>
        <v>0C2D</v>
      </c>
      <c r="I779" s="89"/>
      <c r="J779" s="47" t="str">
        <f t="shared" ca="1" si="88"/>
        <v>0829</v>
      </c>
      <c r="K779" s="89"/>
      <c r="L779" s="89"/>
      <c r="M779" s="47" t="str">
        <f t="shared" ca="1" si="89"/>
        <v>25C8</v>
      </c>
      <c r="N779" s="89"/>
      <c r="O779" s="47" t="str">
        <f t="shared" ca="1" si="90"/>
        <v>6400</v>
      </c>
    </row>
    <row r="780" spans="2:15">
      <c r="B780" s="48">
        <f t="shared" ca="1" si="84"/>
        <v>54622</v>
      </c>
      <c r="C780" s="49">
        <f ca="1">BitXOR(B780, $V$16)</f>
        <v>53594</v>
      </c>
      <c r="D780" s="64">
        <f t="shared" ca="1" si="85"/>
        <v>7893</v>
      </c>
      <c r="E780" s="64">
        <f t="shared" ca="1" si="86"/>
        <v>8241</v>
      </c>
      <c r="F780" s="89"/>
      <c r="G780" s="89"/>
      <c r="H780" s="47" t="str">
        <f t="shared" ca="1" si="87"/>
        <v>D55E</v>
      </c>
      <c r="I780" s="89"/>
      <c r="J780" s="47" t="str">
        <f t="shared" ca="1" si="88"/>
        <v>D15A</v>
      </c>
      <c r="K780" s="89"/>
      <c r="L780" s="89"/>
      <c r="M780" s="47" t="str">
        <f t="shared" ca="1" si="89"/>
        <v>1ED5</v>
      </c>
      <c r="N780" s="89"/>
      <c r="O780" s="47" t="str">
        <f t="shared" ca="1" si="90"/>
        <v>2031</v>
      </c>
    </row>
    <row r="781" spans="2:15">
      <c r="B781" s="48">
        <f t="shared" ca="1" si="84"/>
        <v>47247</v>
      </c>
      <c r="C781" s="49">
        <f ca="1">BitXOR(B781, $V$16)</f>
        <v>48267</v>
      </c>
      <c r="D781" s="64">
        <f t="shared" ca="1" si="85"/>
        <v>14440</v>
      </c>
      <c r="E781" s="64">
        <f t="shared" ca="1" si="86"/>
        <v>59028</v>
      </c>
      <c r="F781" s="89"/>
      <c r="G781" s="89"/>
      <c r="H781" s="47" t="str">
        <f t="shared" ca="1" si="87"/>
        <v>B88F</v>
      </c>
      <c r="I781" s="89"/>
      <c r="J781" s="47" t="str">
        <f t="shared" ca="1" si="88"/>
        <v>BC8B</v>
      </c>
      <c r="K781" s="89"/>
      <c r="L781" s="89"/>
      <c r="M781" s="47" t="str">
        <f t="shared" ca="1" si="89"/>
        <v>3868</v>
      </c>
      <c r="N781" s="89"/>
      <c r="O781" s="47" t="str">
        <f t="shared" ca="1" si="90"/>
        <v>E694</v>
      </c>
    </row>
    <row r="782" spans="2:15">
      <c r="B782" s="48">
        <f t="shared" ca="1" si="84"/>
        <v>325</v>
      </c>
      <c r="C782" s="49">
        <f ca="1">BitXOR(B782, $V$16)</f>
        <v>1345</v>
      </c>
      <c r="D782" s="64">
        <f t="shared" ca="1" si="85"/>
        <v>19162</v>
      </c>
      <c r="E782" s="64">
        <f t="shared" ca="1" si="86"/>
        <v>34438</v>
      </c>
      <c r="F782" s="89"/>
      <c r="G782" s="89"/>
      <c r="H782" s="47" t="str">
        <f t="shared" ca="1" si="87"/>
        <v>0145</v>
      </c>
      <c r="I782" s="89"/>
      <c r="J782" s="47" t="str">
        <f t="shared" ca="1" si="88"/>
        <v>0541</v>
      </c>
      <c r="K782" s="89"/>
      <c r="L782" s="89"/>
      <c r="M782" s="47" t="str">
        <f t="shared" ca="1" si="89"/>
        <v>4ADA</v>
      </c>
      <c r="N782" s="89"/>
      <c r="O782" s="47" t="str">
        <f t="shared" ca="1" si="90"/>
        <v>8686</v>
      </c>
    </row>
    <row r="783" spans="2:15">
      <c r="B783" s="48">
        <f t="shared" ca="1" si="84"/>
        <v>65171</v>
      </c>
      <c r="C783" s="49">
        <f ca="1">BitXOR(B783, $V$16)</f>
        <v>64151</v>
      </c>
      <c r="D783" s="64">
        <f t="shared" ca="1" si="85"/>
        <v>31319</v>
      </c>
      <c r="E783" s="64">
        <f t="shared" ca="1" si="86"/>
        <v>65180</v>
      </c>
      <c r="F783" s="89"/>
      <c r="G783" s="89"/>
      <c r="H783" s="47" t="str">
        <f t="shared" ca="1" si="87"/>
        <v>FE93</v>
      </c>
      <c r="I783" s="89"/>
      <c r="J783" s="47" t="str">
        <f t="shared" ca="1" si="88"/>
        <v>FA97</v>
      </c>
      <c r="K783" s="89"/>
      <c r="L783" s="89"/>
      <c r="M783" s="47" t="str">
        <f t="shared" ca="1" si="89"/>
        <v>7A57</v>
      </c>
      <c r="N783" s="89"/>
      <c r="O783" s="47" t="str">
        <f t="shared" ca="1" si="90"/>
        <v>FE9C</v>
      </c>
    </row>
    <row r="784" spans="2:15">
      <c r="B784" s="48">
        <f t="shared" ca="1" si="84"/>
        <v>19212</v>
      </c>
      <c r="C784" s="49">
        <f ca="1">BitXOR(B784, $V$16)</f>
        <v>20232</v>
      </c>
      <c r="D784" s="64">
        <f t="shared" ca="1" si="85"/>
        <v>43029</v>
      </c>
      <c r="E784" s="64">
        <f t="shared" ca="1" si="86"/>
        <v>19097</v>
      </c>
      <c r="F784" s="89"/>
      <c r="G784" s="89"/>
      <c r="H784" s="47" t="str">
        <f t="shared" ca="1" si="87"/>
        <v>4B0C</v>
      </c>
      <c r="I784" s="89"/>
      <c r="J784" s="47" t="str">
        <f t="shared" ca="1" si="88"/>
        <v>4F08</v>
      </c>
      <c r="K784" s="89"/>
      <c r="L784" s="89"/>
      <c r="M784" s="47" t="str">
        <f t="shared" ca="1" si="89"/>
        <v>A815</v>
      </c>
      <c r="N784" s="89"/>
      <c r="O784" s="47" t="str">
        <f t="shared" ca="1" si="90"/>
        <v>4A99</v>
      </c>
    </row>
    <row r="785" spans="2:15">
      <c r="B785" s="48">
        <f t="shared" ca="1" si="84"/>
        <v>29368</v>
      </c>
      <c r="C785" s="49">
        <f ca="1">BitXOR(B785, $V$16)</f>
        <v>30396</v>
      </c>
      <c r="D785" s="64">
        <f t="shared" ca="1" si="85"/>
        <v>34163</v>
      </c>
      <c r="E785" s="64">
        <f t="shared" ca="1" si="86"/>
        <v>33157</v>
      </c>
      <c r="F785" s="89"/>
      <c r="G785" s="89"/>
      <c r="H785" s="47" t="str">
        <f t="shared" ca="1" si="87"/>
        <v>72B8</v>
      </c>
      <c r="I785" s="89"/>
      <c r="J785" s="47" t="str">
        <f t="shared" ca="1" si="88"/>
        <v>76BC</v>
      </c>
      <c r="K785" s="89"/>
      <c r="L785" s="89"/>
      <c r="M785" s="47" t="str">
        <f t="shared" ca="1" si="89"/>
        <v>8573</v>
      </c>
      <c r="N785" s="89"/>
      <c r="O785" s="47" t="str">
        <f t="shared" ca="1" si="90"/>
        <v>8185</v>
      </c>
    </row>
    <row r="786" spans="2:15">
      <c r="B786" s="48">
        <f t="shared" ca="1" si="84"/>
        <v>59197</v>
      </c>
      <c r="C786" s="49">
        <f ca="1">BitXOR(B786, $V$16)</f>
        <v>58169</v>
      </c>
      <c r="D786" s="64">
        <f t="shared" ca="1" si="85"/>
        <v>41271</v>
      </c>
      <c r="E786" s="64">
        <f t="shared" ca="1" si="86"/>
        <v>16690</v>
      </c>
      <c r="F786" s="89"/>
      <c r="G786" s="89"/>
      <c r="H786" s="47" t="str">
        <f t="shared" ca="1" si="87"/>
        <v>E73D</v>
      </c>
      <c r="I786" s="89"/>
      <c r="J786" s="47" t="str">
        <f t="shared" ca="1" si="88"/>
        <v>E339</v>
      </c>
      <c r="K786" s="89"/>
      <c r="L786" s="89"/>
      <c r="M786" s="47" t="str">
        <f t="shared" ca="1" si="89"/>
        <v>A137</v>
      </c>
      <c r="N786" s="89"/>
      <c r="O786" s="47" t="str">
        <f t="shared" ca="1" si="90"/>
        <v>4132</v>
      </c>
    </row>
    <row r="787" spans="2:15">
      <c r="B787" s="48">
        <f t="shared" ca="1" si="84"/>
        <v>26425</v>
      </c>
      <c r="C787" s="49">
        <f ca="1">BitXOR(B787, $V$16)</f>
        <v>25405</v>
      </c>
      <c r="D787" s="64">
        <f t="shared" ca="1" si="85"/>
        <v>43137</v>
      </c>
      <c r="E787" s="64">
        <f t="shared" ca="1" si="86"/>
        <v>42113</v>
      </c>
      <c r="F787" s="89"/>
      <c r="G787" s="89"/>
      <c r="H787" s="47" t="str">
        <f t="shared" ca="1" si="87"/>
        <v>6739</v>
      </c>
      <c r="I787" s="89"/>
      <c r="J787" s="47" t="str">
        <f t="shared" ca="1" si="88"/>
        <v>633D</v>
      </c>
      <c r="K787" s="89"/>
      <c r="L787" s="89"/>
      <c r="M787" s="47" t="str">
        <f t="shared" ca="1" si="89"/>
        <v>A881</v>
      </c>
      <c r="N787" s="89"/>
      <c r="O787" s="47" t="str">
        <f t="shared" ca="1" si="90"/>
        <v>A481</v>
      </c>
    </row>
    <row r="788" spans="2:15">
      <c r="B788" s="48">
        <f t="shared" ca="1" si="84"/>
        <v>60142</v>
      </c>
      <c r="C788" s="49">
        <f ca="1">BitXOR(B788, $V$16)</f>
        <v>61162</v>
      </c>
      <c r="D788" s="64">
        <f t="shared" ca="1" si="85"/>
        <v>10115</v>
      </c>
      <c r="E788" s="64">
        <f t="shared" ca="1" si="86"/>
        <v>24538</v>
      </c>
      <c r="F788" s="89"/>
      <c r="G788" s="89"/>
      <c r="H788" s="47" t="str">
        <f t="shared" ca="1" si="87"/>
        <v>EAEE</v>
      </c>
      <c r="I788" s="89"/>
      <c r="J788" s="47" t="str">
        <f t="shared" ca="1" si="88"/>
        <v>EEEA</v>
      </c>
      <c r="K788" s="89"/>
      <c r="L788" s="89"/>
      <c r="M788" s="47" t="str">
        <f t="shared" ca="1" si="89"/>
        <v>2783</v>
      </c>
      <c r="N788" s="89"/>
      <c r="O788" s="47" t="str">
        <f t="shared" ca="1" si="90"/>
        <v>5FDA</v>
      </c>
    </row>
    <row r="789" spans="2:15">
      <c r="B789" s="48">
        <f t="shared" ca="1" si="84"/>
        <v>46001</v>
      </c>
      <c r="C789" s="49">
        <f ca="1">BitXOR(B789, $V$16)</f>
        <v>47029</v>
      </c>
      <c r="D789" s="64">
        <f t="shared" ca="1" si="85"/>
        <v>31478</v>
      </c>
      <c r="E789" s="64">
        <f t="shared" ca="1" si="86"/>
        <v>7365</v>
      </c>
      <c r="F789" s="89"/>
      <c r="G789" s="89"/>
      <c r="H789" s="47" t="str">
        <f t="shared" ca="1" si="87"/>
        <v>B3B1</v>
      </c>
      <c r="I789" s="89"/>
      <c r="J789" s="47" t="str">
        <f t="shared" ca="1" si="88"/>
        <v>B7B5</v>
      </c>
      <c r="K789" s="89"/>
      <c r="L789" s="89"/>
      <c r="M789" s="47" t="str">
        <f t="shared" ca="1" si="89"/>
        <v>7AF6</v>
      </c>
      <c r="N789" s="89"/>
      <c r="O789" s="47" t="str">
        <f t="shared" ca="1" si="90"/>
        <v>1CC5</v>
      </c>
    </row>
    <row r="790" spans="2:15">
      <c r="B790" s="48">
        <f t="shared" ca="1" si="84"/>
        <v>58281</v>
      </c>
      <c r="C790" s="49">
        <f ca="1">BitXOR(B790, $V$16)</f>
        <v>59309</v>
      </c>
      <c r="D790" s="64">
        <f t="shared" ca="1" si="85"/>
        <v>18738</v>
      </c>
      <c r="E790" s="64">
        <f t="shared" ca="1" si="86"/>
        <v>41265</v>
      </c>
      <c r="F790" s="89"/>
      <c r="G790" s="89"/>
      <c r="H790" s="47" t="str">
        <f t="shared" ca="1" si="87"/>
        <v>E3A9</v>
      </c>
      <c r="I790" s="89"/>
      <c r="J790" s="47" t="str">
        <f t="shared" ca="1" si="88"/>
        <v>E7AD</v>
      </c>
      <c r="K790" s="89"/>
      <c r="L790" s="89"/>
      <c r="M790" s="47" t="str">
        <f t="shared" ca="1" si="89"/>
        <v>4932</v>
      </c>
      <c r="N790" s="89"/>
      <c r="O790" s="47" t="str">
        <f t="shared" ca="1" si="90"/>
        <v>A131</v>
      </c>
    </row>
    <row r="791" spans="2:15">
      <c r="B791" s="48">
        <f t="shared" ref="B791:B850" ca="1" si="91">RANDBETWEEN(1,2^16-1)</f>
        <v>22217</v>
      </c>
      <c r="C791" s="49">
        <f ca="1">BitXOR(B791, $V$16)</f>
        <v>21197</v>
      </c>
      <c r="D791" s="64">
        <f t="shared" ca="1" si="85"/>
        <v>9634</v>
      </c>
      <c r="E791" s="64">
        <f t="shared" ca="1" si="86"/>
        <v>6561</v>
      </c>
      <c r="F791" s="89"/>
      <c r="G791" s="89"/>
      <c r="H791" s="47" t="str">
        <f t="shared" ca="1" si="87"/>
        <v>56C9</v>
      </c>
      <c r="I791" s="89"/>
      <c r="J791" s="47" t="str">
        <f t="shared" ca="1" si="88"/>
        <v>52CD</v>
      </c>
      <c r="K791" s="89"/>
      <c r="L791" s="89"/>
      <c r="M791" s="47" t="str">
        <f t="shared" ca="1" si="89"/>
        <v>25A2</v>
      </c>
      <c r="N791" s="89"/>
      <c r="O791" s="47" t="str">
        <f t="shared" ca="1" si="90"/>
        <v>19A1</v>
      </c>
    </row>
    <row r="792" spans="2:15">
      <c r="B792" s="48">
        <f t="shared" ca="1" si="91"/>
        <v>36941</v>
      </c>
      <c r="C792" s="49">
        <f ca="1">BitXOR(B792, $V$16)</f>
        <v>37961</v>
      </c>
      <c r="D792" s="64">
        <f t="shared" ca="1" si="85"/>
        <v>16936</v>
      </c>
      <c r="E792" s="64">
        <f t="shared" ca="1" si="86"/>
        <v>16918</v>
      </c>
      <c r="F792" s="89"/>
      <c r="G792" s="89"/>
      <c r="H792" s="47" t="str">
        <f t="shared" ca="1" si="87"/>
        <v>904D</v>
      </c>
      <c r="I792" s="89"/>
      <c r="J792" s="47" t="str">
        <f t="shared" ca="1" si="88"/>
        <v>9449</v>
      </c>
      <c r="K792" s="89"/>
      <c r="L792" s="89"/>
      <c r="M792" s="47" t="str">
        <f t="shared" ca="1" si="89"/>
        <v>4228</v>
      </c>
      <c r="N792" s="89"/>
      <c r="O792" s="47" t="str">
        <f t="shared" ca="1" si="90"/>
        <v>4216</v>
      </c>
    </row>
    <row r="793" spans="2:15">
      <c r="B793" s="48">
        <f t="shared" ca="1" si="91"/>
        <v>46835</v>
      </c>
      <c r="C793" s="49">
        <f ca="1">BitXOR(B793, $V$16)</f>
        <v>45815</v>
      </c>
      <c r="D793" s="64">
        <f t="shared" ca="1" si="85"/>
        <v>10499</v>
      </c>
      <c r="E793" s="64">
        <f t="shared" ca="1" si="86"/>
        <v>35267</v>
      </c>
      <c r="F793" s="89"/>
      <c r="G793" s="89"/>
      <c r="H793" s="47" t="str">
        <f t="shared" ca="1" si="87"/>
        <v>B6F3</v>
      </c>
      <c r="I793" s="89"/>
      <c r="J793" s="47" t="str">
        <f t="shared" ca="1" si="88"/>
        <v>B2F7</v>
      </c>
      <c r="K793" s="89"/>
      <c r="L793" s="89"/>
      <c r="M793" s="47" t="str">
        <f t="shared" ca="1" si="89"/>
        <v>2903</v>
      </c>
      <c r="N793" s="89"/>
      <c r="O793" s="47" t="str">
        <f t="shared" ca="1" si="90"/>
        <v>89C3</v>
      </c>
    </row>
    <row r="794" spans="2:15">
      <c r="B794" s="48">
        <f t="shared" ca="1" si="91"/>
        <v>25742</v>
      </c>
      <c r="C794" s="49">
        <f ca="1">BitXOR(B794, $V$16)</f>
        <v>24714</v>
      </c>
      <c r="D794" s="64">
        <f t="shared" ca="1" si="85"/>
        <v>4742</v>
      </c>
      <c r="E794" s="64">
        <f t="shared" ca="1" si="86"/>
        <v>55942</v>
      </c>
      <c r="F794" s="89"/>
      <c r="G794" s="89"/>
      <c r="H794" s="47" t="str">
        <f t="shared" ca="1" si="87"/>
        <v>648E</v>
      </c>
      <c r="I794" s="89"/>
      <c r="J794" s="47" t="str">
        <f t="shared" ca="1" si="88"/>
        <v>608A</v>
      </c>
      <c r="K794" s="89"/>
      <c r="L794" s="89"/>
      <c r="M794" s="47" t="str">
        <f t="shared" ca="1" si="89"/>
        <v>1286</v>
      </c>
      <c r="N794" s="89"/>
      <c r="O794" s="47" t="str">
        <f t="shared" ca="1" si="90"/>
        <v>DA86</v>
      </c>
    </row>
    <row r="795" spans="2:15">
      <c r="B795" s="48">
        <f t="shared" ca="1" si="91"/>
        <v>8575</v>
      </c>
      <c r="C795" s="49">
        <f ca="1">BitXOR(B795, $V$16)</f>
        <v>9595</v>
      </c>
      <c r="D795" s="64">
        <f t="shared" ca="1" si="85"/>
        <v>53779</v>
      </c>
      <c r="E795" s="64">
        <f t="shared" ca="1" si="86"/>
        <v>37555</v>
      </c>
      <c r="F795" s="89"/>
      <c r="G795" s="89"/>
      <c r="H795" s="47" t="str">
        <f t="shared" ca="1" si="87"/>
        <v>217F</v>
      </c>
      <c r="I795" s="89"/>
      <c r="J795" s="47" t="str">
        <f t="shared" ca="1" si="88"/>
        <v>257B</v>
      </c>
      <c r="K795" s="89"/>
      <c r="L795" s="89"/>
      <c r="M795" s="47" t="str">
        <f t="shared" ca="1" si="89"/>
        <v>D213</v>
      </c>
      <c r="N795" s="89"/>
      <c r="O795" s="47" t="str">
        <f t="shared" ca="1" si="90"/>
        <v>92B3</v>
      </c>
    </row>
    <row r="796" spans="2:15">
      <c r="B796" s="48">
        <f t="shared" ca="1" si="91"/>
        <v>1711</v>
      </c>
      <c r="C796" s="49">
        <f ca="1">BitXOR(B796, $V$16)</f>
        <v>683</v>
      </c>
      <c r="D796" s="64">
        <f t="shared" ca="1" si="85"/>
        <v>40943</v>
      </c>
      <c r="E796" s="64">
        <f t="shared" ca="1" si="86"/>
        <v>43073</v>
      </c>
      <c r="F796" s="89"/>
      <c r="G796" s="89"/>
      <c r="H796" s="47" t="str">
        <f t="shared" ca="1" si="87"/>
        <v>06AF</v>
      </c>
      <c r="I796" s="89"/>
      <c r="J796" s="47" t="str">
        <f t="shared" ca="1" si="88"/>
        <v>02AB</v>
      </c>
      <c r="K796" s="89"/>
      <c r="L796" s="89"/>
      <c r="M796" s="47" t="str">
        <f t="shared" ca="1" si="89"/>
        <v>9FEF</v>
      </c>
      <c r="N796" s="89"/>
      <c r="O796" s="47" t="str">
        <f t="shared" ca="1" si="90"/>
        <v>A841</v>
      </c>
    </row>
    <row r="797" spans="2:15">
      <c r="B797" s="48">
        <f t="shared" ca="1" si="91"/>
        <v>19165</v>
      </c>
      <c r="C797" s="49">
        <f ca="1">BitXOR(B797, $V$16)</f>
        <v>20185</v>
      </c>
      <c r="D797" s="64">
        <f t="shared" ca="1" si="85"/>
        <v>63311</v>
      </c>
      <c r="E797" s="64">
        <f t="shared" ca="1" si="86"/>
        <v>42584</v>
      </c>
      <c r="F797" s="89"/>
      <c r="G797" s="89"/>
      <c r="H797" s="47" t="str">
        <f t="shared" ca="1" si="87"/>
        <v>4ADD</v>
      </c>
      <c r="I797" s="89"/>
      <c r="J797" s="47" t="str">
        <f t="shared" ca="1" si="88"/>
        <v>4ED9</v>
      </c>
      <c r="K797" s="89"/>
      <c r="L797" s="89"/>
      <c r="M797" s="47" t="str">
        <f t="shared" ca="1" si="89"/>
        <v>F74F</v>
      </c>
      <c r="N797" s="89"/>
      <c r="O797" s="47" t="str">
        <f t="shared" ca="1" si="90"/>
        <v>A658</v>
      </c>
    </row>
    <row r="798" spans="2:15">
      <c r="B798" s="48">
        <f t="shared" ca="1" si="91"/>
        <v>23034</v>
      </c>
      <c r="C798" s="49">
        <f ca="1">BitXOR(B798, $V$16)</f>
        <v>24062</v>
      </c>
      <c r="D798" s="64">
        <f t="shared" ca="1" si="85"/>
        <v>59485</v>
      </c>
      <c r="E798" s="64">
        <f t="shared" ca="1" si="86"/>
        <v>61154</v>
      </c>
      <c r="F798" s="89"/>
      <c r="G798" s="89"/>
      <c r="H798" s="47" t="str">
        <f t="shared" ca="1" si="87"/>
        <v>59FA</v>
      </c>
      <c r="I798" s="89"/>
      <c r="J798" s="47" t="str">
        <f t="shared" ca="1" si="88"/>
        <v>5DFE</v>
      </c>
      <c r="K798" s="89"/>
      <c r="L798" s="89"/>
      <c r="M798" s="47" t="str">
        <f t="shared" ca="1" si="89"/>
        <v>E85D</v>
      </c>
      <c r="N798" s="89"/>
      <c r="O798" s="47" t="str">
        <f t="shared" ca="1" si="90"/>
        <v>EEE2</v>
      </c>
    </row>
    <row r="799" spans="2:15">
      <c r="B799" s="48">
        <f t="shared" ca="1" si="91"/>
        <v>62536</v>
      </c>
      <c r="C799" s="49">
        <f ca="1">BitXOR(B799, $V$16)</f>
        <v>61516</v>
      </c>
      <c r="D799" s="64">
        <f t="shared" ca="1" si="85"/>
        <v>13028</v>
      </c>
      <c r="E799" s="64">
        <f t="shared" ca="1" si="86"/>
        <v>12960</v>
      </c>
      <c r="F799" s="89"/>
      <c r="G799" s="89"/>
      <c r="H799" s="47" t="str">
        <f t="shared" ca="1" si="87"/>
        <v>F448</v>
      </c>
      <c r="I799" s="89"/>
      <c r="J799" s="47" t="str">
        <f t="shared" ca="1" si="88"/>
        <v>F04C</v>
      </c>
      <c r="K799" s="89"/>
      <c r="L799" s="89"/>
      <c r="M799" s="47" t="str">
        <f t="shared" ca="1" si="89"/>
        <v>32E4</v>
      </c>
      <c r="N799" s="89"/>
      <c r="O799" s="47" t="str">
        <f t="shared" ca="1" si="90"/>
        <v>32A0</v>
      </c>
    </row>
    <row r="800" spans="2:15">
      <c r="B800" s="48">
        <f t="shared" ca="1" si="91"/>
        <v>16822</v>
      </c>
      <c r="C800" s="49">
        <f ca="1">BitXOR(B800, $V$16)</f>
        <v>17842</v>
      </c>
      <c r="D800" s="64">
        <f t="shared" ca="1" si="85"/>
        <v>23449</v>
      </c>
      <c r="E800" s="64">
        <f t="shared" ca="1" si="86"/>
        <v>42267</v>
      </c>
      <c r="F800" s="89"/>
      <c r="G800" s="89"/>
      <c r="H800" s="47" t="str">
        <f t="shared" ca="1" si="87"/>
        <v>41B6</v>
      </c>
      <c r="I800" s="89"/>
      <c r="J800" s="47" t="str">
        <f t="shared" ca="1" si="88"/>
        <v>45B2</v>
      </c>
      <c r="K800" s="89"/>
      <c r="L800" s="89"/>
      <c r="M800" s="47" t="str">
        <f t="shared" ca="1" si="89"/>
        <v>5B99</v>
      </c>
      <c r="N800" s="89"/>
      <c r="O800" s="47" t="str">
        <f t="shared" ca="1" si="90"/>
        <v>A51B</v>
      </c>
    </row>
    <row r="801" spans="2:15">
      <c r="B801" s="48">
        <f t="shared" ca="1" si="91"/>
        <v>29449</v>
      </c>
      <c r="C801" s="49">
        <f ca="1">BitXOR(B801, $V$16)</f>
        <v>30477</v>
      </c>
      <c r="D801" s="64">
        <f t="shared" ca="1" si="85"/>
        <v>40389</v>
      </c>
      <c r="E801" s="64">
        <f t="shared" ca="1" si="86"/>
        <v>56773</v>
      </c>
      <c r="F801" s="89"/>
      <c r="G801" s="89"/>
      <c r="H801" s="47" t="str">
        <f t="shared" ca="1" si="87"/>
        <v>7309</v>
      </c>
      <c r="I801" s="89"/>
      <c r="J801" s="47" t="str">
        <f t="shared" ca="1" si="88"/>
        <v>770D</v>
      </c>
      <c r="K801" s="89"/>
      <c r="L801" s="89"/>
      <c r="M801" s="47" t="str">
        <f t="shared" ca="1" si="89"/>
        <v>9DC5</v>
      </c>
      <c r="N801" s="89"/>
      <c r="O801" s="47" t="str">
        <f t="shared" ca="1" si="90"/>
        <v>DDC5</v>
      </c>
    </row>
    <row r="802" spans="2:15">
      <c r="B802" s="48">
        <f t="shared" ca="1" si="91"/>
        <v>46135</v>
      </c>
      <c r="C802" s="49">
        <f ca="1">BitXOR(B802, $V$16)</f>
        <v>45107</v>
      </c>
      <c r="D802" s="64">
        <f t="shared" ca="1" si="85"/>
        <v>46915</v>
      </c>
      <c r="E802" s="64">
        <f t="shared" ca="1" si="86"/>
        <v>48435</v>
      </c>
      <c r="F802" s="89"/>
      <c r="G802" s="89"/>
      <c r="H802" s="47" t="str">
        <f t="shared" ca="1" si="87"/>
        <v>B437</v>
      </c>
      <c r="I802" s="89"/>
      <c r="J802" s="47" t="str">
        <f t="shared" ca="1" si="88"/>
        <v>B033</v>
      </c>
      <c r="K802" s="89"/>
      <c r="L802" s="89"/>
      <c r="M802" s="47" t="str">
        <f t="shared" ca="1" si="89"/>
        <v>B743</v>
      </c>
      <c r="N802" s="89"/>
      <c r="O802" s="47" t="str">
        <f t="shared" ca="1" si="90"/>
        <v>BD33</v>
      </c>
    </row>
    <row r="803" spans="2:15">
      <c r="B803" s="48">
        <f t="shared" ca="1" si="91"/>
        <v>14836</v>
      </c>
      <c r="C803" s="49">
        <f ca="1">BitXOR(B803, $V$16)</f>
        <v>15856</v>
      </c>
      <c r="D803" s="64">
        <f t="shared" ca="1" si="85"/>
        <v>47917</v>
      </c>
      <c r="E803" s="64">
        <f t="shared" ca="1" si="86"/>
        <v>12595</v>
      </c>
      <c r="F803" s="89"/>
      <c r="G803" s="89"/>
      <c r="H803" s="47" t="str">
        <f t="shared" ca="1" si="87"/>
        <v>39F4</v>
      </c>
      <c r="I803" s="89"/>
      <c r="J803" s="47" t="str">
        <f t="shared" ca="1" si="88"/>
        <v>3DF0</v>
      </c>
      <c r="K803" s="89"/>
      <c r="L803" s="89"/>
      <c r="M803" s="47" t="str">
        <f t="shared" ca="1" si="89"/>
        <v>BB2D</v>
      </c>
      <c r="N803" s="89"/>
      <c r="O803" s="47" t="str">
        <f t="shared" ca="1" si="90"/>
        <v>3133</v>
      </c>
    </row>
    <row r="804" spans="2:15">
      <c r="B804" s="48">
        <f t="shared" ca="1" si="91"/>
        <v>29133</v>
      </c>
      <c r="C804" s="49">
        <f ca="1">BitXOR(B804, $V$16)</f>
        <v>30153</v>
      </c>
      <c r="D804" s="64">
        <f t="shared" ca="1" si="85"/>
        <v>3544</v>
      </c>
      <c r="E804" s="64">
        <f t="shared" ca="1" si="86"/>
        <v>10853</v>
      </c>
      <c r="F804" s="89"/>
      <c r="G804" s="89"/>
      <c r="H804" s="47" t="str">
        <f t="shared" ca="1" si="87"/>
        <v>71CD</v>
      </c>
      <c r="I804" s="89"/>
      <c r="J804" s="47" t="str">
        <f t="shared" ca="1" si="88"/>
        <v>75C9</v>
      </c>
      <c r="K804" s="89"/>
      <c r="L804" s="89"/>
      <c r="M804" s="47" t="str">
        <f t="shared" ca="1" si="89"/>
        <v>0DD8</v>
      </c>
      <c r="N804" s="89"/>
      <c r="O804" s="47" t="str">
        <f t="shared" ca="1" si="90"/>
        <v>2A65</v>
      </c>
    </row>
    <row r="805" spans="2:15">
      <c r="B805" s="48">
        <f t="shared" ca="1" si="91"/>
        <v>58775</v>
      </c>
      <c r="C805" s="49">
        <f ca="1">BitXOR(B805, $V$16)</f>
        <v>57747</v>
      </c>
      <c r="D805" s="64">
        <f t="shared" ref="D805:D850" ca="1" si="92">Encrypt(B805, $D$2:$S$3, $D$6:$S$7, $V$10,$V$11,$V$12,$W$10,$W$11)</f>
        <v>46036</v>
      </c>
      <c r="E805" s="64">
        <f t="shared" ref="E805:E850" ca="1" si="93">Encrypt(C805, $D$2:$S$3, $D$6:$S$7, $V$10,$V$11,$V$12,$W$10,$W$11)</f>
        <v>47362</v>
      </c>
      <c r="F805" s="89"/>
      <c r="G805" s="89"/>
      <c r="H805" s="47" t="str">
        <f t="shared" ref="H805:H850" ca="1" si="94">DEC2HEX(B805,4)</f>
        <v>E597</v>
      </c>
      <c r="I805" s="89"/>
      <c r="J805" s="47" t="str">
        <f t="shared" ref="J805:J850" ca="1" si="95">DEC2HEX(C805,4)</f>
        <v>E193</v>
      </c>
      <c r="K805" s="89"/>
      <c r="L805" s="89"/>
      <c r="M805" s="47" t="str">
        <f t="shared" ref="M805:M850" ca="1" si="96">DEC2HEX(D805,4)</f>
        <v>B3D4</v>
      </c>
      <c r="N805" s="89"/>
      <c r="O805" s="47" t="str">
        <f t="shared" ref="O805:O850" ca="1" si="97">DEC2HEX(E805,4)</f>
        <v>B902</v>
      </c>
    </row>
    <row r="806" spans="2:15">
      <c r="B806" s="48">
        <f t="shared" ca="1" si="91"/>
        <v>46435</v>
      </c>
      <c r="C806" s="49">
        <f ca="1">BitXOR(B806, $V$16)</f>
        <v>45415</v>
      </c>
      <c r="D806" s="64">
        <f t="shared" ca="1" si="92"/>
        <v>19968</v>
      </c>
      <c r="E806" s="64">
        <f t="shared" ca="1" si="93"/>
        <v>16864</v>
      </c>
      <c r="F806" s="89"/>
      <c r="G806" s="89"/>
      <c r="H806" s="47" t="str">
        <f t="shared" ca="1" si="94"/>
        <v>B563</v>
      </c>
      <c r="I806" s="89"/>
      <c r="J806" s="47" t="str">
        <f t="shared" ca="1" si="95"/>
        <v>B167</v>
      </c>
      <c r="K806" s="89"/>
      <c r="L806" s="89"/>
      <c r="M806" s="47" t="str">
        <f t="shared" ca="1" si="96"/>
        <v>4E00</v>
      </c>
      <c r="N806" s="89"/>
      <c r="O806" s="47" t="str">
        <f t="shared" ca="1" si="97"/>
        <v>41E0</v>
      </c>
    </row>
    <row r="807" spans="2:15">
      <c r="B807" s="48">
        <f t="shared" ca="1" si="91"/>
        <v>17275</v>
      </c>
      <c r="C807" s="49">
        <f ca="1">BitXOR(B807, $V$16)</f>
        <v>18303</v>
      </c>
      <c r="D807" s="64">
        <f t="shared" ca="1" si="92"/>
        <v>51185</v>
      </c>
      <c r="E807" s="64">
        <f t="shared" ca="1" si="93"/>
        <v>39743</v>
      </c>
      <c r="F807" s="89"/>
      <c r="G807" s="89"/>
      <c r="H807" s="47" t="str">
        <f t="shared" ca="1" si="94"/>
        <v>437B</v>
      </c>
      <c r="I807" s="89"/>
      <c r="J807" s="47" t="str">
        <f t="shared" ca="1" si="95"/>
        <v>477F</v>
      </c>
      <c r="K807" s="89"/>
      <c r="L807" s="89"/>
      <c r="M807" s="47" t="str">
        <f t="shared" ca="1" si="96"/>
        <v>C7F1</v>
      </c>
      <c r="N807" s="89"/>
      <c r="O807" s="47" t="str">
        <f t="shared" ca="1" si="97"/>
        <v>9B3F</v>
      </c>
    </row>
    <row r="808" spans="2:15">
      <c r="B808" s="48">
        <f t="shared" ca="1" si="91"/>
        <v>61269</v>
      </c>
      <c r="C808" s="49">
        <f ca="1">BitXOR(B808, $V$16)</f>
        <v>60241</v>
      </c>
      <c r="D808" s="64">
        <f t="shared" ca="1" si="92"/>
        <v>12047</v>
      </c>
      <c r="E808" s="64">
        <f t="shared" ca="1" si="93"/>
        <v>46052</v>
      </c>
      <c r="F808" s="89"/>
      <c r="G808" s="89"/>
      <c r="H808" s="47" t="str">
        <f t="shared" ca="1" si="94"/>
        <v>EF55</v>
      </c>
      <c r="I808" s="89"/>
      <c r="J808" s="47" t="str">
        <f t="shared" ca="1" si="95"/>
        <v>EB51</v>
      </c>
      <c r="K808" s="89"/>
      <c r="L808" s="89"/>
      <c r="M808" s="47" t="str">
        <f t="shared" ca="1" si="96"/>
        <v>2F0F</v>
      </c>
      <c r="N808" s="89"/>
      <c r="O808" s="47" t="str">
        <f t="shared" ca="1" si="97"/>
        <v>B3E4</v>
      </c>
    </row>
    <row r="809" spans="2:15">
      <c r="B809" s="48">
        <f t="shared" ca="1" si="91"/>
        <v>23770</v>
      </c>
      <c r="C809" s="49">
        <f ca="1">BitXOR(B809, $V$16)</f>
        <v>22750</v>
      </c>
      <c r="D809" s="64">
        <f t="shared" ca="1" si="92"/>
        <v>12103</v>
      </c>
      <c r="E809" s="64">
        <f t="shared" ca="1" si="93"/>
        <v>26045</v>
      </c>
      <c r="F809" s="89"/>
      <c r="G809" s="89"/>
      <c r="H809" s="47" t="str">
        <f t="shared" ca="1" si="94"/>
        <v>5CDA</v>
      </c>
      <c r="I809" s="89"/>
      <c r="J809" s="47" t="str">
        <f t="shared" ca="1" si="95"/>
        <v>58DE</v>
      </c>
      <c r="K809" s="89"/>
      <c r="L809" s="89"/>
      <c r="M809" s="47" t="str">
        <f t="shared" ca="1" si="96"/>
        <v>2F47</v>
      </c>
      <c r="N809" s="89"/>
      <c r="O809" s="47" t="str">
        <f t="shared" ca="1" si="97"/>
        <v>65BD</v>
      </c>
    </row>
    <row r="810" spans="2:15">
      <c r="B810" s="48">
        <f t="shared" ca="1" si="91"/>
        <v>24802</v>
      </c>
      <c r="C810" s="49">
        <f ca="1">BitXOR(B810, $V$16)</f>
        <v>25830</v>
      </c>
      <c r="D810" s="64">
        <f t="shared" ca="1" si="92"/>
        <v>40174</v>
      </c>
      <c r="E810" s="64">
        <f t="shared" ca="1" si="93"/>
        <v>51862</v>
      </c>
      <c r="F810" s="89"/>
      <c r="G810" s="89"/>
      <c r="H810" s="47" t="str">
        <f t="shared" ca="1" si="94"/>
        <v>60E2</v>
      </c>
      <c r="I810" s="89"/>
      <c r="J810" s="47" t="str">
        <f t="shared" ca="1" si="95"/>
        <v>64E6</v>
      </c>
      <c r="K810" s="89"/>
      <c r="L810" s="89"/>
      <c r="M810" s="47" t="str">
        <f t="shared" ca="1" si="96"/>
        <v>9CEE</v>
      </c>
      <c r="N810" s="89"/>
      <c r="O810" s="47" t="str">
        <f t="shared" ca="1" si="97"/>
        <v>CA96</v>
      </c>
    </row>
    <row r="811" spans="2:15">
      <c r="B811" s="48">
        <f t="shared" ca="1" si="91"/>
        <v>22053</v>
      </c>
      <c r="C811" s="49">
        <f ca="1">BitXOR(B811, $V$16)</f>
        <v>21025</v>
      </c>
      <c r="D811" s="64">
        <f t="shared" ca="1" si="92"/>
        <v>37655</v>
      </c>
      <c r="E811" s="64">
        <f t="shared" ca="1" si="93"/>
        <v>49519</v>
      </c>
      <c r="F811" s="89"/>
      <c r="G811" s="89"/>
      <c r="H811" s="47" t="str">
        <f t="shared" ca="1" si="94"/>
        <v>5625</v>
      </c>
      <c r="I811" s="89"/>
      <c r="J811" s="47" t="str">
        <f t="shared" ca="1" si="95"/>
        <v>5221</v>
      </c>
      <c r="K811" s="89"/>
      <c r="L811" s="89"/>
      <c r="M811" s="47" t="str">
        <f t="shared" ca="1" si="96"/>
        <v>9317</v>
      </c>
      <c r="N811" s="89"/>
      <c r="O811" s="47" t="str">
        <f t="shared" ca="1" si="97"/>
        <v>C16F</v>
      </c>
    </row>
    <row r="812" spans="2:15">
      <c r="B812" s="48">
        <f t="shared" ca="1" si="91"/>
        <v>24129</v>
      </c>
      <c r="C812" s="49">
        <f ca="1">BitXOR(B812, $V$16)</f>
        <v>23109</v>
      </c>
      <c r="D812" s="64">
        <f t="shared" ca="1" si="92"/>
        <v>53920</v>
      </c>
      <c r="E812" s="64">
        <f t="shared" ca="1" si="93"/>
        <v>57183</v>
      </c>
      <c r="F812" s="89"/>
      <c r="G812" s="89"/>
      <c r="H812" s="47" t="str">
        <f t="shared" ca="1" si="94"/>
        <v>5E41</v>
      </c>
      <c r="I812" s="89"/>
      <c r="J812" s="47" t="str">
        <f t="shared" ca="1" si="95"/>
        <v>5A45</v>
      </c>
      <c r="K812" s="89"/>
      <c r="L812" s="89"/>
      <c r="M812" s="47" t="str">
        <f t="shared" ca="1" si="96"/>
        <v>D2A0</v>
      </c>
      <c r="N812" s="89"/>
      <c r="O812" s="47" t="str">
        <f t="shared" ca="1" si="97"/>
        <v>DF5F</v>
      </c>
    </row>
    <row r="813" spans="2:15">
      <c r="B813" s="48">
        <f t="shared" ca="1" si="91"/>
        <v>59832</v>
      </c>
      <c r="C813" s="49">
        <f ca="1">BitXOR(B813, $V$16)</f>
        <v>60860</v>
      </c>
      <c r="D813" s="64">
        <f t="shared" ca="1" si="92"/>
        <v>63034</v>
      </c>
      <c r="E813" s="64">
        <f t="shared" ca="1" si="93"/>
        <v>63057</v>
      </c>
      <c r="F813" s="89"/>
      <c r="G813" s="89"/>
      <c r="H813" s="47" t="str">
        <f t="shared" ca="1" si="94"/>
        <v>E9B8</v>
      </c>
      <c r="I813" s="89"/>
      <c r="J813" s="47" t="str">
        <f t="shared" ca="1" si="95"/>
        <v>EDBC</v>
      </c>
      <c r="K813" s="89"/>
      <c r="L813" s="89"/>
      <c r="M813" s="47" t="str">
        <f t="shared" ca="1" si="96"/>
        <v>F63A</v>
      </c>
      <c r="N813" s="89"/>
      <c r="O813" s="47" t="str">
        <f t="shared" ca="1" si="97"/>
        <v>F651</v>
      </c>
    </row>
    <row r="814" spans="2:15">
      <c r="B814" s="48">
        <f t="shared" ca="1" si="91"/>
        <v>29898</v>
      </c>
      <c r="C814" s="49">
        <f ca="1">BitXOR(B814, $V$16)</f>
        <v>28878</v>
      </c>
      <c r="D814" s="64">
        <f t="shared" ca="1" si="92"/>
        <v>5812</v>
      </c>
      <c r="E814" s="64">
        <f t="shared" ca="1" si="93"/>
        <v>7852</v>
      </c>
      <c r="F814" s="89"/>
      <c r="G814" s="89"/>
      <c r="H814" s="47" t="str">
        <f t="shared" ca="1" si="94"/>
        <v>74CA</v>
      </c>
      <c r="I814" s="89"/>
      <c r="J814" s="47" t="str">
        <f t="shared" ca="1" si="95"/>
        <v>70CE</v>
      </c>
      <c r="K814" s="89"/>
      <c r="L814" s="89"/>
      <c r="M814" s="47" t="str">
        <f t="shared" ca="1" si="96"/>
        <v>16B4</v>
      </c>
      <c r="N814" s="89"/>
      <c r="O814" s="47" t="str">
        <f t="shared" ca="1" si="97"/>
        <v>1EAC</v>
      </c>
    </row>
    <row r="815" spans="2:15">
      <c r="B815" s="48">
        <f t="shared" ca="1" si="91"/>
        <v>14267</v>
      </c>
      <c r="C815" s="49">
        <f ca="1">BitXOR(B815, $V$16)</f>
        <v>13247</v>
      </c>
      <c r="D815" s="64">
        <f t="shared" ca="1" si="92"/>
        <v>61567</v>
      </c>
      <c r="E815" s="64">
        <f t="shared" ca="1" si="93"/>
        <v>1610</v>
      </c>
      <c r="F815" s="89"/>
      <c r="G815" s="89"/>
      <c r="H815" s="47" t="str">
        <f t="shared" ca="1" si="94"/>
        <v>37BB</v>
      </c>
      <c r="I815" s="89"/>
      <c r="J815" s="47" t="str">
        <f t="shared" ca="1" si="95"/>
        <v>33BF</v>
      </c>
      <c r="K815" s="89"/>
      <c r="L815" s="89"/>
      <c r="M815" s="47" t="str">
        <f t="shared" ca="1" si="96"/>
        <v>F07F</v>
      </c>
      <c r="N815" s="89"/>
      <c r="O815" s="47" t="str">
        <f t="shared" ca="1" si="97"/>
        <v>064A</v>
      </c>
    </row>
    <row r="816" spans="2:15">
      <c r="B816" s="48">
        <f t="shared" ca="1" si="91"/>
        <v>63460</v>
      </c>
      <c r="C816" s="49">
        <f ca="1">BitXOR(B816, $V$16)</f>
        <v>62432</v>
      </c>
      <c r="D816" s="64">
        <f t="shared" ca="1" si="92"/>
        <v>15764</v>
      </c>
      <c r="E816" s="64">
        <f t="shared" ca="1" si="93"/>
        <v>56516</v>
      </c>
      <c r="F816" s="89"/>
      <c r="G816" s="89"/>
      <c r="H816" s="47" t="str">
        <f t="shared" ca="1" si="94"/>
        <v>F7E4</v>
      </c>
      <c r="I816" s="89"/>
      <c r="J816" s="47" t="str">
        <f t="shared" ca="1" si="95"/>
        <v>F3E0</v>
      </c>
      <c r="K816" s="89"/>
      <c r="L816" s="89"/>
      <c r="M816" s="47" t="str">
        <f t="shared" ca="1" si="96"/>
        <v>3D94</v>
      </c>
      <c r="N816" s="89"/>
      <c r="O816" s="47" t="str">
        <f t="shared" ca="1" si="97"/>
        <v>DCC4</v>
      </c>
    </row>
    <row r="817" spans="2:15">
      <c r="B817" s="48">
        <f t="shared" ca="1" si="91"/>
        <v>7754</v>
      </c>
      <c r="C817" s="49">
        <f ca="1">BitXOR(B817, $V$16)</f>
        <v>6734</v>
      </c>
      <c r="D817" s="64">
        <f t="shared" ca="1" si="92"/>
        <v>20660</v>
      </c>
      <c r="E817" s="64">
        <f t="shared" ca="1" si="93"/>
        <v>28004</v>
      </c>
      <c r="F817" s="89"/>
      <c r="G817" s="89"/>
      <c r="H817" s="47" t="str">
        <f t="shared" ca="1" si="94"/>
        <v>1E4A</v>
      </c>
      <c r="I817" s="89"/>
      <c r="J817" s="47" t="str">
        <f t="shared" ca="1" si="95"/>
        <v>1A4E</v>
      </c>
      <c r="K817" s="89"/>
      <c r="L817" s="89"/>
      <c r="M817" s="47" t="str">
        <f t="shared" ca="1" si="96"/>
        <v>50B4</v>
      </c>
      <c r="N817" s="89"/>
      <c r="O817" s="47" t="str">
        <f t="shared" ca="1" si="97"/>
        <v>6D64</v>
      </c>
    </row>
    <row r="818" spans="2:15">
      <c r="B818" s="48">
        <f t="shared" ca="1" si="91"/>
        <v>36779</v>
      </c>
      <c r="C818" s="49">
        <f ca="1">BitXOR(B818, $V$16)</f>
        <v>35759</v>
      </c>
      <c r="D818" s="64">
        <f t="shared" ca="1" si="92"/>
        <v>13785</v>
      </c>
      <c r="E818" s="64">
        <f t="shared" ca="1" si="93"/>
        <v>15400</v>
      </c>
      <c r="F818" s="89"/>
      <c r="G818" s="89"/>
      <c r="H818" s="47" t="str">
        <f t="shared" ca="1" si="94"/>
        <v>8FAB</v>
      </c>
      <c r="I818" s="89"/>
      <c r="J818" s="47" t="str">
        <f t="shared" ca="1" si="95"/>
        <v>8BAF</v>
      </c>
      <c r="K818" s="89"/>
      <c r="L818" s="89"/>
      <c r="M818" s="47" t="str">
        <f t="shared" ca="1" si="96"/>
        <v>35D9</v>
      </c>
      <c r="N818" s="89"/>
      <c r="O818" s="47" t="str">
        <f t="shared" ca="1" si="97"/>
        <v>3C28</v>
      </c>
    </row>
    <row r="819" spans="2:15">
      <c r="B819" s="48">
        <f t="shared" ca="1" si="91"/>
        <v>42997</v>
      </c>
      <c r="C819" s="49">
        <f ca="1">BitXOR(B819, $V$16)</f>
        <v>41969</v>
      </c>
      <c r="D819" s="64">
        <f t="shared" ca="1" si="92"/>
        <v>2973</v>
      </c>
      <c r="E819" s="64">
        <f t="shared" ca="1" si="93"/>
        <v>14993</v>
      </c>
      <c r="F819" s="89"/>
      <c r="G819" s="89"/>
      <c r="H819" s="47" t="str">
        <f t="shared" ca="1" si="94"/>
        <v>A7F5</v>
      </c>
      <c r="I819" s="89"/>
      <c r="J819" s="47" t="str">
        <f t="shared" ca="1" si="95"/>
        <v>A3F1</v>
      </c>
      <c r="K819" s="89"/>
      <c r="L819" s="89"/>
      <c r="M819" s="47" t="str">
        <f t="shared" ca="1" si="96"/>
        <v>0B9D</v>
      </c>
      <c r="N819" s="89"/>
      <c r="O819" s="47" t="str">
        <f t="shared" ca="1" si="97"/>
        <v>3A91</v>
      </c>
    </row>
    <row r="820" spans="2:15">
      <c r="B820" s="48">
        <f t="shared" ca="1" si="91"/>
        <v>41429</v>
      </c>
      <c r="C820" s="49">
        <f ca="1">BitXOR(B820, $V$16)</f>
        <v>42449</v>
      </c>
      <c r="D820" s="64">
        <f t="shared" ca="1" si="92"/>
        <v>63431</v>
      </c>
      <c r="E820" s="64">
        <f t="shared" ca="1" si="93"/>
        <v>25397</v>
      </c>
      <c r="F820" s="89"/>
      <c r="G820" s="89"/>
      <c r="H820" s="47" t="str">
        <f t="shared" ca="1" si="94"/>
        <v>A1D5</v>
      </c>
      <c r="I820" s="89"/>
      <c r="J820" s="47" t="str">
        <f t="shared" ca="1" si="95"/>
        <v>A5D1</v>
      </c>
      <c r="K820" s="89"/>
      <c r="L820" s="89"/>
      <c r="M820" s="47" t="str">
        <f t="shared" ca="1" si="96"/>
        <v>F7C7</v>
      </c>
      <c r="N820" s="89"/>
      <c r="O820" s="47" t="str">
        <f t="shared" ca="1" si="97"/>
        <v>6335</v>
      </c>
    </row>
    <row r="821" spans="2:15">
      <c r="B821" s="48">
        <f t="shared" ca="1" si="91"/>
        <v>51402</v>
      </c>
      <c r="C821" s="49">
        <f ca="1">BitXOR(B821, $V$16)</f>
        <v>52430</v>
      </c>
      <c r="D821" s="64">
        <f t="shared" ca="1" si="92"/>
        <v>2690</v>
      </c>
      <c r="E821" s="64">
        <f t="shared" ca="1" si="93"/>
        <v>9086</v>
      </c>
      <c r="F821" s="89"/>
      <c r="G821" s="89"/>
      <c r="H821" s="47" t="str">
        <f t="shared" ca="1" si="94"/>
        <v>C8CA</v>
      </c>
      <c r="I821" s="89"/>
      <c r="J821" s="47" t="str">
        <f t="shared" ca="1" si="95"/>
        <v>CCCE</v>
      </c>
      <c r="K821" s="89"/>
      <c r="L821" s="89"/>
      <c r="M821" s="47" t="str">
        <f t="shared" ca="1" si="96"/>
        <v>0A82</v>
      </c>
      <c r="N821" s="89"/>
      <c r="O821" s="47" t="str">
        <f t="shared" ca="1" si="97"/>
        <v>237E</v>
      </c>
    </row>
    <row r="822" spans="2:15">
      <c r="B822" s="48">
        <f t="shared" ca="1" si="91"/>
        <v>4423</v>
      </c>
      <c r="C822" s="49">
        <f ca="1">BitXOR(B822, $V$16)</f>
        <v>5443</v>
      </c>
      <c r="D822" s="64">
        <f t="shared" ca="1" si="92"/>
        <v>28852</v>
      </c>
      <c r="E822" s="64">
        <f t="shared" ca="1" si="93"/>
        <v>51664</v>
      </c>
      <c r="F822" s="89"/>
      <c r="G822" s="89"/>
      <c r="H822" s="47" t="str">
        <f t="shared" ca="1" si="94"/>
        <v>1147</v>
      </c>
      <c r="I822" s="89"/>
      <c r="J822" s="47" t="str">
        <f t="shared" ca="1" si="95"/>
        <v>1543</v>
      </c>
      <c r="K822" s="89"/>
      <c r="L822" s="89"/>
      <c r="M822" s="47" t="str">
        <f t="shared" ca="1" si="96"/>
        <v>70B4</v>
      </c>
      <c r="N822" s="89"/>
      <c r="O822" s="47" t="str">
        <f t="shared" ca="1" si="97"/>
        <v>C9D0</v>
      </c>
    </row>
    <row r="823" spans="2:15">
      <c r="B823" s="48">
        <f t="shared" ca="1" si="91"/>
        <v>54057</v>
      </c>
      <c r="C823" s="49">
        <f ca="1">BitXOR(B823, $V$16)</f>
        <v>55085</v>
      </c>
      <c r="D823" s="64">
        <f t="shared" ca="1" si="92"/>
        <v>63429</v>
      </c>
      <c r="E823" s="64">
        <f t="shared" ca="1" si="93"/>
        <v>1989</v>
      </c>
      <c r="F823" s="89"/>
      <c r="G823" s="89"/>
      <c r="H823" s="47" t="str">
        <f t="shared" ca="1" si="94"/>
        <v>D329</v>
      </c>
      <c r="I823" s="89"/>
      <c r="J823" s="47" t="str">
        <f t="shared" ca="1" si="95"/>
        <v>D72D</v>
      </c>
      <c r="K823" s="89"/>
      <c r="L823" s="89"/>
      <c r="M823" s="47" t="str">
        <f t="shared" ca="1" si="96"/>
        <v>F7C5</v>
      </c>
      <c r="N823" s="89"/>
      <c r="O823" s="47" t="str">
        <f t="shared" ca="1" si="97"/>
        <v>07C5</v>
      </c>
    </row>
    <row r="824" spans="2:15">
      <c r="B824" s="48">
        <f t="shared" ca="1" si="91"/>
        <v>2762</v>
      </c>
      <c r="C824" s="49">
        <f ca="1">BitXOR(B824, $V$16)</f>
        <v>3790</v>
      </c>
      <c r="D824" s="64">
        <f t="shared" ca="1" si="92"/>
        <v>19269</v>
      </c>
      <c r="E824" s="64">
        <f t="shared" ca="1" si="93"/>
        <v>57533</v>
      </c>
      <c r="F824" s="89"/>
      <c r="G824" s="89"/>
      <c r="H824" s="47" t="str">
        <f t="shared" ca="1" si="94"/>
        <v>0ACA</v>
      </c>
      <c r="I824" s="89"/>
      <c r="J824" s="47" t="str">
        <f t="shared" ca="1" si="95"/>
        <v>0ECE</v>
      </c>
      <c r="K824" s="89"/>
      <c r="L824" s="89"/>
      <c r="M824" s="47" t="str">
        <f t="shared" ca="1" si="96"/>
        <v>4B45</v>
      </c>
      <c r="N824" s="89"/>
      <c r="O824" s="47" t="str">
        <f t="shared" ca="1" si="97"/>
        <v>E0BD</v>
      </c>
    </row>
    <row r="825" spans="2:15">
      <c r="B825" s="48">
        <f t="shared" ca="1" si="91"/>
        <v>9922</v>
      </c>
      <c r="C825" s="49">
        <f ca="1">BitXOR(B825, $V$16)</f>
        <v>8902</v>
      </c>
      <c r="D825" s="64">
        <f t="shared" ca="1" si="92"/>
        <v>30499</v>
      </c>
      <c r="E825" s="64">
        <f t="shared" ca="1" si="93"/>
        <v>10596</v>
      </c>
      <c r="F825" s="89"/>
      <c r="G825" s="89"/>
      <c r="H825" s="47" t="str">
        <f t="shared" ca="1" si="94"/>
        <v>26C2</v>
      </c>
      <c r="I825" s="89"/>
      <c r="J825" s="47" t="str">
        <f t="shared" ca="1" si="95"/>
        <v>22C6</v>
      </c>
      <c r="K825" s="89"/>
      <c r="L825" s="89"/>
      <c r="M825" s="47" t="str">
        <f t="shared" ca="1" si="96"/>
        <v>7723</v>
      </c>
      <c r="N825" s="89"/>
      <c r="O825" s="47" t="str">
        <f t="shared" ca="1" si="97"/>
        <v>2964</v>
      </c>
    </row>
    <row r="826" spans="2:15">
      <c r="B826" s="48">
        <f t="shared" ca="1" si="91"/>
        <v>29680</v>
      </c>
      <c r="C826" s="49">
        <f ca="1">BitXOR(B826, $V$16)</f>
        <v>30708</v>
      </c>
      <c r="D826" s="64">
        <f t="shared" ca="1" si="92"/>
        <v>32623</v>
      </c>
      <c r="E826" s="64">
        <f t="shared" ca="1" si="93"/>
        <v>55573</v>
      </c>
      <c r="F826" s="89"/>
      <c r="G826" s="89"/>
      <c r="H826" s="47" t="str">
        <f t="shared" ca="1" si="94"/>
        <v>73F0</v>
      </c>
      <c r="I826" s="89"/>
      <c r="J826" s="47" t="str">
        <f t="shared" ca="1" si="95"/>
        <v>77F4</v>
      </c>
      <c r="K826" s="89"/>
      <c r="L826" s="89"/>
      <c r="M826" s="47" t="str">
        <f t="shared" ca="1" si="96"/>
        <v>7F6F</v>
      </c>
      <c r="N826" s="89"/>
      <c r="O826" s="47" t="str">
        <f t="shared" ca="1" si="97"/>
        <v>D915</v>
      </c>
    </row>
    <row r="827" spans="2:15">
      <c r="B827" s="48">
        <f t="shared" ca="1" si="91"/>
        <v>55966</v>
      </c>
      <c r="C827" s="49">
        <f ca="1">BitXOR(B827, $V$16)</f>
        <v>56986</v>
      </c>
      <c r="D827" s="64">
        <f t="shared" ca="1" si="92"/>
        <v>42313</v>
      </c>
      <c r="E827" s="64">
        <f t="shared" ca="1" si="93"/>
        <v>25035</v>
      </c>
      <c r="F827" s="89"/>
      <c r="G827" s="89"/>
      <c r="H827" s="47" t="str">
        <f t="shared" ca="1" si="94"/>
        <v>DA9E</v>
      </c>
      <c r="I827" s="89"/>
      <c r="J827" s="47" t="str">
        <f t="shared" ca="1" si="95"/>
        <v>DE9A</v>
      </c>
      <c r="K827" s="89"/>
      <c r="L827" s="89"/>
      <c r="M827" s="47" t="str">
        <f t="shared" ca="1" si="96"/>
        <v>A549</v>
      </c>
      <c r="N827" s="89"/>
      <c r="O827" s="47" t="str">
        <f t="shared" ca="1" si="97"/>
        <v>61CB</v>
      </c>
    </row>
    <row r="828" spans="2:15">
      <c r="B828" s="48">
        <f t="shared" ca="1" si="91"/>
        <v>56043</v>
      </c>
      <c r="C828" s="49">
        <f ca="1">BitXOR(B828, $V$16)</f>
        <v>57071</v>
      </c>
      <c r="D828" s="64">
        <f t="shared" ca="1" si="92"/>
        <v>58537</v>
      </c>
      <c r="E828" s="64">
        <f t="shared" ca="1" si="93"/>
        <v>9017</v>
      </c>
      <c r="F828" s="89"/>
      <c r="G828" s="89"/>
      <c r="H828" s="47" t="str">
        <f t="shared" ca="1" si="94"/>
        <v>DAEB</v>
      </c>
      <c r="I828" s="89"/>
      <c r="J828" s="47" t="str">
        <f t="shared" ca="1" si="95"/>
        <v>DEEF</v>
      </c>
      <c r="K828" s="89"/>
      <c r="L828" s="89"/>
      <c r="M828" s="47" t="str">
        <f t="shared" ca="1" si="96"/>
        <v>E4A9</v>
      </c>
      <c r="N828" s="89"/>
      <c r="O828" s="47" t="str">
        <f t="shared" ca="1" si="97"/>
        <v>2339</v>
      </c>
    </row>
    <row r="829" spans="2:15">
      <c r="B829" s="48">
        <f t="shared" ca="1" si="91"/>
        <v>3856</v>
      </c>
      <c r="C829" s="49">
        <f ca="1">BitXOR(B829, $V$16)</f>
        <v>2836</v>
      </c>
      <c r="D829" s="64">
        <f t="shared" ca="1" si="92"/>
        <v>28660</v>
      </c>
      <c r="E829" s="64">
        <f t="shared" ca="1" si="93"/>
        <v>23532</v>
      </c>
      <c r="F829" s="89"/>
      <c r="G829" s="89"/>
      <c r="H829" s="47" t="str">
        <f t="shared" ca="1" si="94"/>
        <v>0F10</v>
      </c>
      <c r="I829" s="89"/>
      <c r="J829" s="47" t="str">
        <f t="shared" ca="1" si="95"/>
        <v>0B14</v>
      </c>
      <c r="K829" s="89"/>
      <c r="L829" s="89"/>
      <c r="M829" s="47" t="str">
        <f t="shared" ca="1" si="96"/>
        <v>6FF4</v>
      </c>
      <c r="N829" s="89"/>
      <c r="O829" s="47" t="str">
        <f t="shared" ca="1" si="97"/>
        <v>5BEC</v>
      </c>
    </row>
    <row r="830" spans="2:15">
      <c r="B830" s="48">
        <f t="shared" ca="1" si="91"/>
        <v>36918</v>
      </c>
      <c r="C830" s="49">
        <f ca="1">BitXOR(B830, $V$16)</f>
        <v>37938</v>
      </c>
      <c r="D830" s="64">
        <f t="shared" ca="1" si="92"/>
        <v>49835</v>
      </c>
      <c r="E830" s="64">
        <f t="shared" ca="1" si="93"/>
        <v>65348</v>
      </c>
      <c r="F830" s="89"/>
      <c r="G830" s="89"/>
      <c r="H830" s="47" t="str">
        <f t="shared" ca="1" si="94"/>
        <v>9036</v>
      </c>
      <c r="I830" s="89"/>
      <c r="J830" s="47" t="str">
        <f t="shared" ca="1" si="95"/>
        <v>9432</v>
      </c>
      <c r="K830" s="89"/>
      <c r="L830" s="89"/>
      <c r="M830" s="47" t="str">
        <f t="shared" ca="1" si="96"/>
        <v>C2AB</v>
      </c>
      <c r="N830" s="89"/>
      <c r="O830" s="47" t="str">
        <f t="shared" ca="1" si="97"/>
        <v>FF44</v>
      </c>
    </row>
    <row r="831" spans="2:15">
      <c r="B831" s="48">
        <f t="shared" ca="1" si="91"/>
        <v>23673</v>
      </c>
      <c r="C831" s="49">
        <f ca="1">BitXOR(B831, $V$16)</f>
        <v>22653</v>
      </c>
      <c r="D831" s="64">
        <f t="shared" ca="1" si="92"/>
        <v>51732</v>
      </c>
      <c r="E831" s="64">
        <f t="shared" ca="1" si="93"/>
        <v>47298</v>
      </c>
      <c r="F831" s="89"/>
      <c r="G831" s="89"/>
      <c r="H831" s="47" t="str">
        <f t="shared" ca="1" si="94"/>
        <v>5C79</v>
      </c>
      <c r="I831" s="89"/>
      <c r="J831" s="47" t="str">
        <f t="shared" ca="1" si="95"/>
        <v>587D</v>
      </c>
      <c r="K831" s="89"/>
      <c r="L831" s="89"/>
      <c r="M831" s="47" t="str">
        <f t="shared" ca="1" si="96"/>
        <v>CA14</v>
      </c>
      <c r="N831" s="89"/>
      <c r="O831" s="47" t="str">
        <f t="shared" ca="1" si="97"/>
        <v>B8C2</v>
      </c>
    </row>
    <row r="832" spans="2:15">
      <c r="B832" s="48">
        <f t="shared" ca="1" si="91"/>
        <v>50462</v>
      </c>
      <c r="C832" s="49">
        <f ca="1">BitXOR(B832, $V$16)</f>
        <v>49434</v>
      </c>
      <c r="D832" s="64">
        <f t="shared" ca="1" si="92"/>
        <v>24793</v>
      </c>
      <c r="E832" s="64">
        <f t="shared" ca="1" si="93"/>
        <v>22495</v>
      </c>
      <c r="F832" s="89"/>
      <c r="G832" s="89"/>
      <c r="H832" s="47" t="str">
        <f t="shared" ca="1" si="94"/>
        <v>C51E</v>
      </c>
      <c r="I832" s="89"/>
      <c r="J832" s="47" t="str">
        <f t="shared" ca="1" si="95"/>
        <v>C11A</v>
      </c>
      <c r="K832" s="89"/>
      <c r="L832" s="89"/>
      <c r="M832" s="47" t="str">
        <f t="shared" ca="1" si="96"/>
        <v>60D9</v>
      </c>
      <c r="N832" s="89"/>
      <c r="O832" s="47" t="str">
        <f t="shared" ca="1" si="97"/>
        <v>57DF</v>
      </c>
    </row>
    <row r="833" spans="2:15">
      <c r="B833" s="48">
        <f t="shared" ca="1" si="91"/>
        <v>22360</v>
      </c>
      <c r="C833" s="49">
        <f ca="1">BitXOR(B833, $V$16)</f>
        <v>21340</v>
      </c>
      <c r="D833" s="64">
        <f t="shared" ca="1" si="92"/>
        <v>42579</v>
      </c>
      <c r="E833" s="64">
        <f t="shared" ca="1" si="93"/>
        <v>46434</v>
      </c>
      <c r="F833" s="89"/>
      <c r="G833" s="89"/>
      <c r="H833" s="47" t="str">
        <f t="shared" ca="1" si="94"/>
        <v>5758</v>
      </c>
      <c r="I833" s="89"/>
      <c r="J833" s="47" t="str">
        <f t="shared" ca="1" si="95"/>
        <v>535C</v>
      </c>
      <c r="K833" s="89"/>
      <c r="L833" s="89"/>
      <c r="M833" s="47" t="str">
        <f t="shared" ca="1" si="96"/>
        <v>A653</v>
      </c>
      <c r="N833" s="89"/>
      <c r="O833" s="47" t="str">
        <f t="shared" ca="1" si="97"/>
        <v>B562</v>
      </c>
    </row>
    <row r="834" spans="2:15">
      <c r="B834" s="48">
        <f t="shared" ca="1" si="91"/>
        <v>91</v>
      </c>
      <c r="C834" s="49">
        <f ca="1">BitXOR(B834, $V$16)</f>
        <v>1119</v>
      </c>
      <c r="D834" s="64">
        <f t="shared" ca="1" si="92"/>
        <v>52615</v>
      </c>
      <c r="E834" s="64">
        <f t="shared" ca="1" si="93"/>
        <v>3309</v>
      </c>
      <c r="F834" s="89"/>
      <c r="G834" s="89"/>
      <c r="H834" s="47" t="str">
        <f t="shared" ca="1" si="94"/>
        <v>005B</v>
      </c>
      <c r="I834" s="89"/>
      <c r="J834" s="47" t="str">
        <f t="shared" ca="1" si="95"/>
        <v>045F</v>
      </c>
      <c r="K834" s="89"/>
      <c r="L834" s="89"/>
      <c r="M834" s="47" t="str">
        <f t="shared" ca="1" si="96"/>
        <v>CD87</v>
      </c>
      <c r="N834" s="89"/>
      <c r="O834" s="47" t="str">
        <f t="shared" ca="1" si="97"/>
        <v>0CED</v>
      </c>
    </row>
    <row r="835" spans="2:15">
      <c r="B835" s="48">
        <f t="shared" ca="1" si="91"/>
        <v>23622</v>
      </c>
      <c r="C835" s="49">
        <f ca="1">BitXOR(B835, $V$16)</f>
        <v>22594</v>
      </c>
      <c r="D835" s="64">
        <f t="shared" ca="1" si="92"/>
        <v>65535</v>
      </c>
      <c r="E835" s="64">
        <f t="shared" ca="1" si="93"/>
        <v>23546</v>
      </c>
      <c r="F835" s="89"/>
      <c r="G835" s="89"/>
      <c r="H835" s="47" t="str">
        <f t="shared" ca="1" si="94"/>
        <v>5C46</v>
      </c>
      <c r="I835" s="89"/>
      <c r="J835" s="47" t="str">
        <f t="shared" ca="1" si="95"/>
        <v>5842</v>
      </c>
      <c r="K835" s="89"/>
      <c r="L835" s="89"/>
      <c r="M835" s="47" t="str">
        <f t="shared" ca="1" si="96"/>
        <v>FFFF</v>
      </c>
      <c r="N835" s="89"/>
      <c r="O835" s="47" t="str">
        <f t="shared" ca="1" si="97"/>
        <v>5BFA</v>
      </c>
    </row>
    <row r="836" spans="2:15">
      <c r="B836" s="48">
        <f t="shared" ca="1" si="91"/>
        <v>15048</v>
      </c>
      <c r="C836" s="49">
        <f ca="1">BitXOR(B836, $V$16)</f>
        <v>16076</v>
      </c>
      <c r="D836" s="64">
        <f t="shared" ca="1" si="92"/>
        <v>15164</v>
      </c>
      <c r="E836" s="64">
        <f t="shared" ca="1" si="93"/>
        <v>51982</v>
      </c>
      <c r="F836" s="89"/>
      <c r="G836" s="89"/>
      <c r="H836" s="47" t="str">
        <f t="shared" ca="1" si="94"/>
        <v>3AC8</v>
      </c>
      <c r="I836" s="89"/>
      <c r="J836" s="47" t="str">
        <f t="shared" ca="1" si="95"/>
        <v>3ECC</v>
      </c>
      <c r="K836" s="89"/>
      <c r="L836" s="89"/>
      <c r="M836" s="47" t="str">
        <f t="shared" ca="1" si="96"/>
        <v>3B3C</v>
      </c>
      <c r="N836" s="89"/>
      <c r="O836" s="47" t="str">
        <f t="shared" ca="1" si="97"/>
        <v>CB0E</v>
      </c>
    </row>
    <row r="837" spans="2:15">
      <c r="B837" s="48">
        <f t="shared" ca="1" si="91"/>
        <v>10930</v>
      </c>
      <c r="C837" s="49">
        <f ca="1">BitXOR(B837, $V$16)</f>
        <v>11958</v>
      </c>
      <c r="D837" s="64">
        <f t="shared" ca="1" si="92"/>
        <v>13764</v>
      </c>
      <c r="E837" s="64">
        <f t="shared" ca="1" si="93"/>
        <v>13262</v>
      </c>
      <c r="F837" s="89"/>
      <c r="G837" s="89"/>
      <c r="H837" s="47" t="str">
        <f t="shared" ca="1" si="94"/>
        <v>2AB2</v>
      </c>
      <c r="I837" s="89"/>
      <c r="J837" s="47" t="str">
        <f t="shared" ca="1" si="95"/>
        <v>2EB6</v>
      </c>
      <c r="K837" s="89"/>
      <c r="L837" s="89"/>
      <c r="M837" s="47" t="str">
        <f t="shared" ca="1" si="96"/>
        <v>35C4</v>
      </c>
      <c r="N837" s="89"/>
      <c r="O837" s="47" t="str">
        <f t="shared" ca="1" si="97"/>
        <v>33CE</v>
      </c>
    </row>
    <row r="838" spans="2:15">
      <c r="B838" s="48">
        <f t="shared" ca="1" si="91"/>
        <v>46684</v>
      </c>
      <c r="C838" s="49">
        <f ca="1">BitXOR(B838, $V$16)</f>
        <v>45656</v>
      </c>
      <c r="D838" s="64">
        <f t="shared" ca="1" si="92"/>
        <v>16536</v>
      </c>
      <c r="E838" s="64">
        <f t="shared" ca="1" si="93"/>
        <v>16511</v>
      </c>
      <c r="F838" s="89"/>
      <c r="G838" s="89"/>
      <c r="H838" s="47" t="str">
        <f t="shared" ca="1" si="94"/>
        <v>B65C</v>
      </c>
      <c r="I838" s="89"/>
      <c r="J838" s="47" t="str">
        <f t="shared" ca="1" si="95"/>
        <v>B258</v>
      </c>
      <c r="K838" s="89"/>
      <c r="L838" s="89"/>
      <c r="M838" s="47" t="str">
        <f t="shared" ca="1" si="96"/>
        <v>4098</v>
      </c>
      <c r="N838" s="89"/>
      <c r="O838" s="47" t="str">
        <f t="shared" ca="1" si="97"/>
        <v>407F</v>
      </c>
    </row>
    <row r="839" spans="2:15">
      <c r="B839" s="48">
        <f t="shared" ca="1" si="91"/>
        <v>6176</v>
      </c>
      <c r="C839" s="49">
        <f ca="1">BitXOR(B839, $V$16)</f>
        <v>7204</v>
      </c>
      <c r="D839" s="64">
        <f t="shared" ca="1" si="92"/>
        <v>2524</v>
      </c>
      <c r="E839" s="64">
        <f t="shared" ca="1" si="93"/>
        <v>35501</v>
      </c>
      <c r="F839" s="89"/>
      <c r="G839" s="89"/>
      <c r="H839" s="47" t="str">
        <f t="shared" ca="1" si="94"/>
        <v>1820</v>
      </c>
      <c r="I839" s="89"/>
      <c r="J839" s="47" t="str">
        <f t="shared" ca="1" si="95"/>
        <v>1C24</v>
      </c>
      <c r="K839" s="89"/>
      <c r="L839" s="89"/>
      <c r="M839" s="47" t="str">
        <f t="shared" ca="1" si="96"/>
        <v>09DC</v>
      </c>
      <c r="N839" s="89"/>
      <c r="O839" s="47" t="str">
        <f t="shared" ca="1" si="97"/>
        <v>8AAD</v>
      </c>
    </row>
    <row r="840" spans="2:15">
      <c r="B840" s="48">
        <f t="shared" ca="1" si="91"/>
        <v>48060</v>
      </c>
      <c r="C840" s="49">
        <f ca="1">BitXOR(B840, $V$16)</f>
        <v>49080</v>
      </c>
      <c r="D840" s="64">
        <f t="shared" ca="1" si="92"/>
        <v>36440</v>
      </c>
      <c r="E840" s="64">
        <f t="shared" ca="1" si="93"/>
        <v>3253</v>
      </c>
      <c r="F840" s="89"/>
      <c r="G840" s="89"/>
      <c r="H840" s="47" t="str">
        <f t="shared" ca="1" si="94"/>
        <v>BBBC</v>
      </c>
      <c r="I840" s="89"/>
      <c r="J840" s="47" t="str">
        <f t="shared" ca="1" si="95"/>
        <v>BFB8</v>
      </c>
      <c r="K840" s="89"/>
      <c r="L840" s="89"/>
      <c r="M840" s="47" t="str">
        <f t="shared" ca="1" si="96"/>
        <v>8E58</v>
      </c>
      <c r="N840" s="89"/>
      <c r="O840" s="47" t="str">
        <f t="shared" ca="1" si="97"/>
        <v>0CB5</v>
      </c>
    </row>
    <row r="841" spans="2:15">
      <c r="B841" s="48">
        <f t="shared" ca="1" si="91"/>
        <v>15387</v>
      </c>
      <c r="C841" s="49">
        <f ca="1">BitXOR(B841, $V$16)</f>
        <v>14367</v>
      </c>
      <c r="D841" s="64">
        <f t="shared" ca="1" si="92"/>
        <v>12176</v>
      </c>
      <c r="E841" s="64">
        <f t="shared" ca="1" si="93"/>
        <v>60608</v>
      </c>
      <c r="F841" s="89"/>
      <c r="G841" s="89"/>
      <c r="H841" s="47" t="str">
        <f t="shared" ca="1" si="94"/>
        <v>3C1B</v>
      </c>
      <c r="I841" s="89"/>
      <c r="J841" s="47" t="str">
        <f t="shared" ca="1" si="95"/>
        <v>381F</v>
      </c>
      <c r="K841" s="89"/>
      <c r="L841" s="89"/>
      <c r="M841" s="47" t="str">
        <f t="shared" ca="1" si="96"/>
        <v>2F90</v>
      </c>
      <c r="N841" s="89"/>
      <c r="O841" s="47" t="str">
        <f t="shared" ca="1" si="97"/>
        <v>ECC0</v>
      </c>
    </row>
    <row r="842" spans="2:15">
      <c r="B842" s="48">
        <f t="shared" ca="1" si="91"/>
        <v>28013</v>
      </c>
      <c r="C842" s="49">
        <f ca="1">BitXOR(B842, $V$16)</f>
        <v>26985</v>
      </c>
      <c r="D842" s="64">
        <f t="shared" ca="1" si="92"/>
        <v>5863</v>
      </c>
      <c r="E842" s="64">
        <f t="shared" ca="1" si="93"/>
        <v>11929</v>
      </c>
      <c r="F842" s="89"/>
      <c r="G842" s="89"/>
      <c r="H842" s="47" t="str">
        <f t="shared" ca="1" si="94"/>
        <v>6D6D</v>
      </c>
      <c r="I842" s="89"/>
      <c r="J842" s="47" t="str">
        <f t="shared" ca="1" si="95"/>
        <v>6969</v>
      </c>
      <c r="K842" s="89"/>
      <c r="L842" s="89"/>
      <c r="M842" s="47" t="str">
        <f t="shared" ca="1" si="96"/>
        <v>16E7</v>
      </c>
      <c r="N842" s="89"/>
      <c r="O842" s="47" t="str">
        <f t="shared" ca="1" si="97"/>
        <v>2E99</v>
      </c>
    </row>
    <row r="843" spans="2:15">
      <c r="B843" s="48">
        <f t="shared" ca="1" si="91"/>
        <v>22932</v>
      </c>
      <c r="C843" s="49">
        <f ca="1">BitXOR(B843, $V$16)</f>
        <v>23952</v>
      </c>
      <c r="D843" s="64">
        <f t="shared" ca="1" si="92"/>
        <v>52269</v>
      </c>
      <c r="E843" s="64">
        <f t="shared" ca="1" si="93"/>
        <v>3891</v>
      </c>
      <c r="F843" s="89"/>
      <c r="G843" s="89"/>
      <c r="H843" s="47" t="str">
        <f t="shared" ca="1" si="94"/>
        <v>5994</v>
      </c>
      <c r="I843" s="89"/>
      <c r="J843" s="47" t="str">
        <f t="shared" ca="1" si="95"/>
        <v>5D90</v>
      </c>
      <c r="K843" s="89"/>
      <c r="L843" s="89"/>
      <c r="M843" s="47" t="str">
        <f t="shared" ca="1" si="96"/>
        <v>CC2D</v>
      </c>
      <c r="N843" s="89"/>
      <c r="O843" s="47" t="str">
        <f t="shared" ca="1" si="97"/>
        <v>0F33</v>
      </c>
    </row>
    <row r="844" spans="2:15">
      <c r="B844" s="48">
        <f t="shared" ca="1" si="91"/>
        <v>24168</v>
      </c>
      <c r="C844" s="49">
        <f ca="1">BitXOR(B844, $V$16)</f>
        <v>23148</v>
      </c>
      <c r="D844" s="64">
        <f t="shared" ca="1" si="92"/>
        <v>17034</v>
      </c>
      <c r="E844" s="64">
        <f t="shared" ca="1" si="93"/>
        <v>47280</v>
      </c>
      <c r="F844" s="89"/>
      <c r="G844" s="89"/>
      <c r="H844" s="47" t="str">
        <f t="shared" ca="1" si="94"/>
        <v>5E68</v>
      </c>
      <c r="I844" s="89"/>
      <c r="J844" s="47" t="str">
        <f t="shared" ca="1" si="95"/>
        <v>5A6C</v>
      </c>
      <c r="K844" s="89"/>
      <c r="L844" s="89"/>
      <c r="M844" s="47" t="str">
        <f t="shared" ca="1" si="96"/>
        <v>428A</v>
      </c>
      <c r="N844" s="89"/>
      <c r="O844" s="47" t="str">
        <f t="shared" ca="1" si="97"/>
        <v>B8B0</v>
      </c>
    </row>
    <row r="845" spans="2:15">
      <c r="B845" s="48">
        <f t="shared" ca="1" si="91"/>
        <v>14917</v>
      </c>
      <c r="C845" s="49">
        <f ca="1">BitXOR(B845, $V$16)</f>
        <v>15937</v>
      </c>
      <c r="D845" s="64">
        <f t="shared" ca="1" si="92"/>
        <v>60789</v>
      </c>
      <c r="E845" s="64">
        <f t="shared" ca="1" si="93"/>
        <v>32531</v>
      </c>
      <c r="F845" s="89"/>
      <c r="G845" s="89"/>
      <c r="H845" s="47" t="str">
        <f t="shared" ca="1" si="94"/>
        <v>3A45</v>
      </c>
      <c r="I845" s="89"/>
      <c r="J845" s="47" t="str">
        <f t="shared" ca="1" si="95"/>
        <v>3E41</v>
      </c>
      <c r="K845" s="89"/>
      <c r="L845" s="89"/>
      <c r="M845" s="47" t="str">
        <f t="shared" ca="1" si="96"/>
        <v>ED75</v>
      </c>
      <c r="N845" s="89"/>
      <c r="O845" s="47" t="str">
        <f t="shared" ca="1" si="97"/>
        <v>7F13</v>
      </c>
    </row>
    <row r="846" spans="2:15">
      <c r="B846" s="48">
        <f t="shared" ca="1" si="91"/>
        <v>18322</v>
      </c>
      <c r="C846" s="49">
        <f ca="1">BitXOR(B846, $V$16)</f>
        <v>17302</v>
      </c>
      <c r="D846" s="64">
        <f t="shared" ca="1" si="92"/>
        <v>52607</v>
      </c>
      <c r="E846" s="64">
        <f t="shared" ca="1" si="93"/>
        <v>42389</v>
      </c>
      <c r="F846" s="89"/>
      <c r="G846" s="89"/>
      <c r="H846" s="47" t="str">
        <f t="shared" ca="1" si="94"/>
        <v>4792</v>
      </c>
      <c r="I846" s="89"/>
      <c r="J846" s="47" t="str">
        <f t="shared" ca="1" si="95"/>
        <v>4396</v>
      </c>
      <c r="K846" s="89"/>
      <c r="L846" s="89"/>
      <c r="M846" s="47" t="str">
        <f t="shared" ca="1" si="96"/>
        <v>CD7F</v>
      </c>
      <c r="N846" s="89"/>
      <c r="O846" s="47" t="str">
        <f t="shared" ca="1" si="97"/>
        <v>A595</v>
      </c>
    </row>
    <row r="847" spans="2:15">
      <c r="B847" s="48">
        <f t="shared" ca="1" si="91"/>
        <v>28915</v>
      </c>
      <c r="C847" s="49">
        <f ca="1">BitXOR(B847, $V$16)</f>
        <v>29943</v>
      </c>
      <c r="D847" s="64">
        <f t="shared" ca="1" si="92"/>
        <v>58967</v>
      </c>
      <c r="E847" s="64">
        <f t="shared" ca="1" si="93"/>
        <v>58083</v>
      </c>
      <c r="F847" s="89"/>
      <c r="G847" s="89"/>
      <c r="H847" s="47" t="str">
        <f t="shared" ca="1" si="94"/>
        <v>70F3</v>
      </c>
      <c r="I847" s="89"/>
      <c r="J847" s="47" t="str">
        <f t="shared" ca="1" si="95"/>
        <v>74F7</v>
      </c>
      <c r="K847" s="89"/>
      <c r="L847" s="89"/>
      <c r="M847" s="47" t="str">
        <f t="shared" ca="1" si="96"/>
        <v>E657</v>
      </c>
      <c r="N847" s="89"/>
      <c r="O847" s="47" t="str">
        <f t="shared" ca="1" si="97"/>
        <v>E2E3</v>
      </c>
    </row>
    <row r="848" spans="2:15">
      <c r="B848" s="48">
        <f t="shared" ca="1" si="91"/>
        <v>41395</v>
      </c>
      <c r="C848" s="49">
        <f ca="1">BitXOR(B848, $V$16)</f>
        <v>42423</v>
      </c>
      <c r="D848" s="64">
        <f t="shared" ca="1" si="92"/>
        <v>21263</v>
      </c>
      <c r="E848" s="64">
        <f t="shared" ca="1" si="93"/>
        <v>33080</v>
      </c>
      <c r="F848" s="89"/>
      <c r="G848" s="89"/>
      <c r="H848" s="47" t="str">
        <f t="shared" ca="1" si="94"/>
        <v>A1B3</v>
      </c>
      <c r="I848" s="89"/>
      <c r="J848" s="47" t="str">
        <f t="shared" ca="1" si="95"/>
        <v>A5B7</v>
      </c>
      <c r="K848" s="89"/>
      <c r="L848" s="89"/>
      <c r="M848" s="47" t="str">
        <f t="shared" ca="1" si="96"/>
        <v>530F</v>
      </c>
      <c r="N848" s="89"/>
      <c r="O848" s="47" t="str">
        <f t="shared" ca="1" si="97"/>
        <v>8138</v>
      </c>
    </row>
    <row r="849" spans="2:15">
      <c r="B849" s="48">
        <f t="shared" ca="1" si="91"/>
        <v>8664</v>
      </c>
      <c r="C849" s="49">
        <f ca="1">BitXOR(B849, $V$16)</f>
        <v>9692</v>
      </c>
      <c r="D849" s="64">
        <f t="shared" ca="1" si="92"/>
        <v>59671</v>
      </c>
      <c r="E849" s="64">
        <f t="shared" ca="1" si="93"/>
        <v>5949</v>
      </c>
      <c r="F849" s="89"/>
      <c r="G849" s="89"/>
      <c r="H849" s="47" t="str">
        <f t="shared" ca="1" si="94"/>
        <v>21D8</v>
      </c>
      <c r="I849" s="89"/>
      <c r="J849" s="47" t="str">
        <f t="shared" ca="1" si="95"/>
        <v>25DC</v>
      </c>
      <c r="K849" s="89"/>
      <c r="L849" s="89"/>
      <c r="M849" s="47" t="str">
        <f t="shared" ca="1" si="96"/>
        <v>E917</v>
      </c>
      <c r="N849" s="89"/>
      <c r="O849" s="47" t="str">
        <f t="shared" ca="1" si="97"/>
        <v>173D</v>
      </c>
    </row>
    <row r="850" spans="2:15">
      <c r="B850" s="48">
        <f t="shared" ca="1" si="91"/>
        <v>42742</v>
      </c>
      <c r="C850" s="49">
        <f ca="1">BitXOR(B850, $V$16)</f>
        <v>41714</v>
      </c>
      <c r="D850" s="64">
        <f t="shared" ca="1" si="92"/>
        <v>36509</v>
      </c>
      <c r="E850" s="64">
        <f t="shared" ca="1" si="93"/>
        <v>23007</v>
      </c>
      <c r="F850" s="89"/>
      <c r="G850" s="89"/>
      <c r="H850" s="47" t="str">
        <f t="shared" ca="1" si="94"/>
        <v>A6F6</v>
      </c>
      <c r="I850" s="89"/>
      <c r="J850" s="47" t="str">
        <f t="shared" ca="1" si="95"/>
        <v>A2F2</v>
      </c>
      <c r="K850" s="89"/>
      <c r="L850" s="89"/>
      <c r="M850" s="47" t="str">
        <f t="shared" ca="1" si="96"/>
        <v>8E9D</v>
      </c>
      <c r="N850" s="89"/>
      <c r="O850" s="47" t="str">
        <f t="shared" ca="1" si="97"/>
        <v>59DF</v>
      </c>
    </row>
    <row r="851" spans="2:15">
      <c r="B851" s="83"/>
      <c r="C851" s="84"/>
      <c r="D851" s="85"/>
      <c r="E851" s="85"/>
      <c r="F851" s="86"/>
      <c r="G851" s="86"/>
      <c r="H851" s="87"/>
      <c r="I851" s="86"/>
      <c r="J851" s="87"/>
      <c r="K851" s="86"/>
      <c r="L851" s="86"/>
      <c r="M851" s="87"/>
      <c r="N851" s="86"/>
      <c r="O851" s="87"/>
    </row>
    <row r="852" spans="2:15">
      <c r="B852" s="83"/>
      <c r="C852" s="84"/>
      <c r="D852" s="85"/>
      <c r="E852" s="85"/>
      <c r="F852" s="86"/>
      <c r="G852" s="86"/>
      <c r="H852" s="87"/>
      <c r="I852" s="86"/>
      <c r="J852" s="87"/>
      <c r="K852" s="86"/>
      <c r="L852" s="86"/>
      <c r="M852" s="87"/>
      <c r="N852" s="86"/>
      <c r="O852" s="87"/>
    </row>
    <row r="853" spans="2:15">
      <c r="B853" s="83"/>
      <c r="C853" s="84"/>
      <c r="D853" s="85"/>
      <c r="E853" s="85"/>
      <c r="F853" s="86"/>
      <c r="G853" s="86"/>
      <c r="H853" s="87"/>
      <c r="I853" s="86"/>
      <c r="J853" s="87"/>
      <c r="K853" s="86"/>
      <c r="L853" s="86"/>
      <c r="M853" s="87"/>
      <c r="N853" s="86"/>
      <c r="O853" s="87"/>
    </row>
    <row r="854" spans="2:15">
      <c r="B854" s="83"/>
      <c r="C854" s="84"/>
      <c r="D854" s="85"/>
      <c r="E854" s="85"/>
      <c r="F854" s="86"/>
      <c r="G854" s="86"/>
      <c r="H854" s="87"/>
      <c r="I854" s="86"/>
      <c r="J854" s="87"/>
      <c r="K854" s="86"/>
      <c r="L854" s="86"/>
      <c r="M854" s="87"/>
      <c r="N854" s="86"/>
      <c r="O854" s="87"/>
    </row>
    <row r="855" spans="2:15">
      <c r="B855" s="83"/>
      <c r="C855" s="84"/>
      <c r="D855" s="85"/>
      <c r="E855" s="85"/>
      <c r="F855" s="86"/>
      <c r="G855" s="86"/>
      <c r="H855" s="87"/>
      <c r="I855" s="86"/>
      <c r="J855" s="87"/>
      <c r="K855" s="86"/>
      <c r="L855" s="86"/>
      <c r="M855" s="87"/>
      <c r="N855" s="86"/>
      <c r="O855" s="87"/>
    </row>
    <row r="856" spans="2:15">
      <c r="B856" s="83"/>
      <c r="C856" s="84"/>
      <c r="D856" s="85"/>
      <c r="E856" s="85"/>
      <c r="F856" s="86"/>
      <c r="G856" s="86"/>
      <c r="H856" s="87"/>
      <c r="I856" s="86"/>
      <c r="J856" s="87"/>
      <c r="K856" s="86"/>
      <c r="L856" s="86"/>
      <c r="M856" s="87"/>
      <c r="N856" s="86"/>
      <c r="O856" s="87"/>
    </row>
    <row r="857" spans="2:15">
      <c r="B857" s="83"/>
      <c r="C857" s="84"/>
      <c r="D857" s="85"/>
      <c r="E857" s="85"/>
      <c r="F857" s="86"/>
      <c r="G857" s="86"/>
      <c r="H857" s="87"/>
      <c r="I857" s="86"/>
      <c r="J857" s="87"/>
      <c r="K857" s="86"/>
      <c r="L857" s="86"/>
      <c r="M857" s="87"/>
      <c r="N857" s="86"/>
      <c r="O857" s="87"/>
    </row>
    <row r="858" spans="2:15">
      <c r="B858" s="83"/>
      <c r="C858" s="84"/>
      <c r="D858" s="85"/>
      <c r="E858" s="85"/>
      <c r="F858" s="86"/>
      <c r="G858" s="86"/>
      <c r="H858" s="87"/>
      <c r="I858" s="86"/>
      <c r="J858" s="87"/>
      <c r="K858" s="86"/>
      <c r="L858" s="86"/>
      <c r="M858" s="87"/>
      <c r="N858" s="86"/>
      <c r="O858" s="87"/>
    </row>
    <row r="859" spans="2:15">
      <c r="B859" s="83"/>
      <c r="C859" s="84"/>
      <c r="D859" s="85"/>
      <c r="E859" s="85"/>
      <c r="F859" s="86"/>
      <c r="G859" s="86"/>
      <c r="H859" s="87"/>
      <c r="I859" s="86"/>
      <c r="J859" s="87"/>
      <c r="K859" s="86"/>
      <c r="L859" s="86"/>
      <c r="M859" s="87"/>
      <c r="N859" s="86"/>
      <c r="O859" s="87"/>
    </row>
    <row r="860" spans="2:15">
      <c r="B860" s="83"/>
      <c r="C860" s="84"/>
      <c r="D860" s="85"/>
      <c r="E860" s="85"/>
      <c r="F860" s="86"/>
      <c r="G860" s="86"/>
      <c r="H860" s="87"/>
      <c r="I860" s="86"/>
      <c r="J860" s="87"/>
      <c r="K860" s="86"/>
      <c r="L860" s="86"/>
      <c r="M860" s="87"/>
      <c r="N860" s="86"/>
      <c r="O860" s="87"/>
    </row>
    <row r="861" spans="2:15">
      <c r="B861" s="83"/>
      <c r="C861" s="84"/>
      <c r="D861" s="85"/>
      <c r="E861" s="85"/>
      <c r="F861" s="86"/>
      <c r="G861" s="86"/>
      <c r="H861" s="87"/>
      <c r="I861" s="86"/>
      <c r="J861" s="87"/>
      <c r="K861" s="86"/>
      <c r="L861" s="86"/>
      <c r="M861" s="87"/>
      <c r="N861" s="86"/>
      <c r="O861" s="87"/>
    </row>
    <row r="862" spans="2:15">
      <c r="B862" s="83"/>
      <c r="C862" s="84"/>
      <c r="D862" s="85"/>
      <c r="E862" s="85"/>
      <c r="F862" s="86"/>
      <c r="G862" s="86"/>
      <c r="H862" s="87"/>
      <c r="I862" s="86"/>
      <c r="J862" s="87"/>
      <c r="K862" s="86"/>
      <c r="L862" s="86"/>
      <c r="M862" s="87"/>
      <c r="N862" s="86"/>
      <c r="O862" s="87"/>
    </row>
    <row r="863" spans="2:15">
      <c r="B863" s="83"/>
      <c r="C863" s="84"/>
      <c r="D863" s="85"/>
      <c r="E863" s="85"/>
      <c r="F863" s="86"/>
      <c r="G863" s="86"/>
      <c r="H863" s="87"/>
      <c r="I863" s="86"/>
      <c r="J863" s="87"/>
      <c r="K863" s="86"/>
      <c r="L863" s="86"/>
      <c r="M863" s="87"/>
      <c r="N863" s="86"/>
      <c r="O863" s="87"/>
    </row>
    <row r="864" spans="2:15">
      <c r="B864" s="83"/>
      <c r="C864" s="84"/>
      <c r="D864" s="85"/>
      <c r="E864" s="85"/>
      <c r="F864" s="86"/>
      <c r="G864" s="86"/>
      <c r="H864" s="87"/>
      <c r="I864" s="86"/>
      <c r="J864" s="87"/>
      <c r="K864" s="86"/>
      <c r="L864" s="86"/>
      <c r="M864" s="87"/>
      <c r="N864" s="86"/>
      <c r="O864" s="87"/>
    </row>
    <row r="865" spans="2:15">
      <c r="B865" s="83"/>
      <c r="C865" s="84"/>
      <c r="D865" s="85"/>
      <c r="E865" s="85"/>
      <c r="F865" s="86"/>
      <c r="G865" s="86"/>
      <c r="H865" s="87"/>
      <c r="I865" s="86"/>
      <c r="J865" s="87"/>
      <c r="K865" s="86"/>
      <c r="L865" s="86"/>
      <c r="M865" s="87"/>
      <c r="N865" s="86"/>
      <c r="O865" s="87"/>
    </row>
    <row r="866" spans="2:15">
      <c r="B866" s="83"/>
      <c r="C866" s="84"/>
      <c r="D866" s="85"/>
      <c r="E866" s="85"/>
      <c r="F866" s="86"/>
      <c r="G866" s="86"/>
      <c r="H866" s="87"/>
      <c r="I866" s="86"/>
      <c r="J866" s="87"/>
      <c r="K866" s="86"/>
      <c r="L866" s="86"/>
      <c r="M866" s="87"/>
      <c r="N866" s="86"/>
      <c r="O866" s="87"/>
    </row>
    <row r="867" spans="2:15">
      <c r="B867" s="83"/>
      <c r="C867" s="84"/>
      <c r="D867" s="85"/>
      <c r="E867" s="85"/>
      <c r="F867" s="86"/>
      <c r="G867" s="86"/>
      <c r="H867" s="87"/>
      <c r="I867" s="86"/>
      <c r="J867" s="87"/>
      <c r="K867" s="86"/>
      <c r="L867" s="86"/>
      <c r="M867" s="87"/>
      <c r="N867" s="86"/>
      <c r="O867" s="87"/>
    </row>
    <row r="868" spans="2:15">
      <c r="B868" s="83"/>
      <c r="C868" s="84"/>
      <c r="D868" s="85"/>
      <c r="E868" s="85"/>
      <c r="F868" s="86"/>
      <c r="G868" s="86"/>
      <c r="H868" s="87"/>
      <c r="I868" s="86"/>
      <c r="J868" s="87"/>
      <c r="K868" s="86"/>
      <c r="L868" s="86"/>
      <c r="M868" s="87"/>
      <c r="N868" s="86"/>
      <c r="O868" s="87"/>
    </row>
    <row r="869" spans="2:15">
      <c r="B869" s="83"/>
      <c r="C869" s="84"/>
      <c r="D869" s="85"/>
      <c r="E869" s="85"/>
      <c r="F869" s="86"/>
      <c r="G869" s="86"/>
      <c r="H869" s="87"/>
      <c r="I869" s="86"/>
      <c r="J869" s="87"/>
      <c r="K869" s="86"/>
      <c r="L869" s="86"/>
      <c r="M869" s="87"/>
      <c r="N869" s="86"/>
      <c r="O869" s="87"/>
    </row>
    <row r="870" spans="2:15">
      <c r="B870" s="83"/>
      <c r="C870" s="84"/>
      <c r="D870" s="85"/>
      <c r="E870" s="85"/>
      <c r="F870" s="86"/>
      <c r="G870" s="86"/>
      <c r="H870" s="87"/>
      <c r="I870" s="86"/>
      <c r="J870" s="87"/>
      <c r="K870" s="86"/>
      <c r="L870" s="86"/>
      <c r="M870" s="87"/>
      <c r="N870" s="86"/>
      <c r="O870" s="87"/>
    </row>
    <row r="871" spans="2:15">
      <c r="B871" s="83"/>
      <c r="C871" s="84"/>
      <c r="D871" s="85"/>
      <c r="E871" s="85"/>
      <c r="F871" s="86"/>
      <c r="G871" s="86"/>
      <c r="H871" s="87"/>
      <c r="I871" s="86"/>
      <c r="J871" s="87"/>
      <c r="K871" s="86"/>
      <c r="L871" s="86"/>
      <c r="M871" s="87"/>
      <c r="N871" s="86"/>
      <c r="O871" s="87"/>
    </row>
    <row r="872" spans="2:15">
      <c r="B872" s="83"/>
      <c r="C872" s="84"/>
      <c r="D872" s="85"/>
      <c r="E872" s="85"/>
      <c r="F872" s="86"/>
      <c r="G872" s="86"/>
      <c r="H872" s="87"/>
      <c r="I872" s="86"/>
      <c r="J872" s="87"/>
      <c r="K872" s="86"/>
      <c r="L872" s="86"/>
      <c r="M872" s="87"/>
      <c r="N872" s="86"/>
      <c r="O872" s="87"/>
    </row>
    <row r="873" spans="2:15">
      <c r="B873" s="83"/>
      <c r="C873" s="84"/>
      <c r="D873" s="85"/>
      <c r="E873" s="85"/>
      <c r="F873" s="86"/>
      <c r="G873" s="86"/>
      <c r="H873" s="87"/>
      <c r="I873" s="86"/>
      <c r="J873" s="87"/>
      <c r="K873" s="86"/>
      <c r="L873" s="86"/>
      <c r="M873" s="87"/>
      <c r="N873" s="86"/>
      <c r="O873" s="87"/>
    </row>
    <row r="874" spans="2:15">
      <c r="B874" s="83"/>
      <c r="C874" s="84"/>
      <c r="D874" s="85"/>
      <c r="E874" s="85"/>
      <c r="F874" s="86"/>
      <c r="G874" s="86"/>
      <c r="H874" s="87"/>
      <c r="I874" s="86"/>
      <c r="J874" s="87"/>
      <c r="K874" s="86"/>
      <c r="L874" s="86"/>
      <c r="M874" s="87"/>
      <c r="N874" s="86"/>
      <c r="O874" s="87"/>
    </row>
    <row r="875" spans="2:15">
      <c r="B875" s="83"/>
      <c r="C875" s="84"/>
      <c r="D875" s="85"/>
      <c r="E875" s="85"/>
      <c r="F875" s="86"/>
      <c r="G875" s="86"/>
      <c r="H875" s="87"/>
      <c r="I875" s="86"/>
      <c r="J875" s="87"/>
      <c r="K875" s="86"/>
      <c r="L875" s="86"/>
      <c r="M875" s="87"/>
      <c r="N875" s="86"/>
      <c r="O875" s="87"/>
    </row>
    <row r="876" spans="2:15">
      <c r="B876" s="83"/>
      <c r="C876" s="84"/>
      <c r="D876" s="85"/>
      <c r="E876" s="85"/>
      <c r="F876" s="86"/>
      <c r="G876" s="86"/>
      <c r="H876" s="87"/>
      <c r="I876" s="86"/>
      <c r="J876" s="87"/>
      <c r="K876" s="86"/>
      <c r="L876" s="86"/>
      <c r="M876" s="87"/>
      <c r="N876" s="86"/>
      <c r="O876" s="87"/>
    </row>
    <row r="877" spans="2:15">
      <c r="B877" s="83"/>
      <c r="C877" s="84"/>
      <c r="D877" s="85"/>
      <c r="E877" s="85"/>
      <c r="F877" s="86"/>
      <c r="G877" s="86"/>
      <c r="H877" s="87"/>
      <c r="I877" s="86"/>
      <c r="J877" s="87"/>
      <c r="K877" s="86"/>
      <c r="L877" s="86"/>
      <c r="M877" s="87"/>
      <c r="N877" s="86"/>
      <c r="O877" s="87"/>
    </row>
    <row r="878" spans="2:15">
      <c r="B878" s="83"/>
      <c r="C878" s="84"/>
      <c r="D878" s="85"/>
      <c r="E878" s="85"/>
      <c r="F878" s="86"/>
      <c r="G878" s="86"/>
      <c r="H878" s="87"/>
      <c r="I878" s="86"/>
      <c r="J878" s="87"/>
      <c r="K878" s="86"/>
      <c r="L878" s="86"/>
      <c r="M878" s="87"/>
      <c r="N878" s="86"/>
      <c r="O878" s="87"/>
    </row>
    <row r="879" spans="2:15">
      <c r="B879" s="83"/>
      <c r="C879" s="84"/>
      <c r="D879" s="85"/>
      <c r="E879" s="85"/>
      <c r="F879" s="86"/>
      <c r="G879" s="86"/>
      <c r="H879" s="87"/>
      <c r="I879" s="86"/>
      <c r="J879" s="87"/>
      <c r="K879" s="86"/>
      <c r="L879" s="86"/>
      <c r="M879" s="87"/>
      <c r="N879" s="86"/>
      <c r="O879" s="87"/>
    </row>
    <row r="880" spans="2:15">
      <c r="B880" s="83"/>
      <c r="C880" s="84"/>
      <c r="D880" s="85"/>
      <c r="E880" s="85"/>
      <c r="F880" s="86"/>
      <c r="G880" s="86"/>
      <c r="H880" s="87"/>
      <c r="I880" s="86"/>
      <c r="J880" s="87"/>
      <c r="K880" s="86"/>
      <c r="L880" s="86"/>
      <c r="M880" s="87"/>
      <c r="N880" s="86"/>
      <c r="O880" s="87"/>
    </row>
    <row r="881" spans="2:15">
      <c r="B881" s="83"/>
      <c r="C881" s="84"/>
      <c r="D881" s="85"/>
      <c r="E881" s="85"/>
      <c r="F881" s="86"/>
      <c r="G881" s="86"/>
      <c r="H881" s="87"/>
      <c r="I881" s="86"/>
      <c r="J881" s="87"/>
      <c r="K881" s="86"/>
      <c r="L881" s="86"/>
      <c r="M881" s="87"/>
      <c r="N881" s="86"/>
      <c r="O881" s="87"/>
    </row>
    <row r="882" spans="2:15">
      <c r="B882" s="83"/>
      <c r="C882" s="84"/>
      <c r="D882" s="85"/>
      <c r="E882" s="85"/>
      <c r="F882" s="86"/>
      <c r="G882" s="86"/>
      <c r="H882" s="87"/>
      <c r="I882" s="86"/>
      <c r="J882" s="87"/>
      <c r="K882" s="86"/>
      <c r="L882" s="86"/>
      <c r="M882" s="87"/>
      <c r="N882" s="86"/>
      <c r="O882" s="87"/>
    </row>
    <row r="883" spans="2:15">
      <c r="B883" s="83"/>
      <c r="C883" s="84"/>
      <c r="D883" s="85"/>
      <c r="E883" s="85"/>
      <c r="F883" s="86"/>
      <c r="G883" s="86"/>
      <c r="H883" s="87"/>
      <c r="I883" s="86"/>
      <c r="J883" s="87"/>
      <c r="K883" s="86"/>
      <c r="L883" s="86"/>
      <c r="M883" s="87"/>
      <c r="N883" s="86"/>
      <c r="O883" s="87"/>
    </row>
    <row r="884" spans="2:15">
      <c r="B884" s="83"/>
      <c r="C884" s="84"/>
      <c r="D884" s="85"/>
      <c r="E884" s="85"/>
      <c r="F884" s="86"/>
      <c r="G884" s="86"/>
      <c r="H884" s="87"/>
      <c r="I884" s="86"/>
      <c r="J884" s="87"/>
      <c r="K884" s="86"/>
      <c r="L884" s="86"/>
      <c r="M884" s="87"/>
      <c r="N884" s="86"/>
      <c r="O884" s="87"/>
    </row>
    <row r="885" spans="2:15">
      <c r="B885" s="83"/>
      <c r="C885" s="84"/>
      <c r="D885" s="85"/>
      <c r="E885" s="85"/>
      <c r="F885" s="86"/>
      <c r="G885" s="86"/>
      <c r="H885" s="87"/>
      <c r="I885" s="86"/>
      <c r="J885" s="87"/>
      <c r="K885" s="86"/>
      <c r="L885" s="86"/>
      <c r="M885" s="87"/>
      <c r="N885" s="86"/>
      <c r="O885" s="87"/>
    </row>
    <row r="886" spans="2:15">
      <c r="B886" s="83"/>
      <c r="C886" s="84"/>
      <c r="D886" s="85"/>
      <c r="E886" s="85"/>
      <c r="F886" s="86"/>
      <c r="G886" s="86"/>
      <c r="H886" s="87"/>
      <c r="I886" s="86"/>
      <c r="J886" s="87"/>
      <c r="K886" s="86"/>
      <c r="L886" s="86"/>
      <c r="M886" s="87"/>
      <c r="N886" s="86"/>
      <c r="O886" s="87"/>
    </row>
    <row r="887" spans="2:15">
      <c r="B887" s="83"/>
      <c r="C887" s="84"/>
      <c r="D887" s="85"/>
      <c r="E887" s="85"/>
      <c r="F887" s="86"/>
      <c r="G887" s="86"/>
      <c r="H887" s="87"/>
      <c r="I887" s="86"/>
      <c r="J887" s="87"/>
      <c r="K887" s="86"/>
      <c r="L887" s="86"/>
      <c r="M887" s="87"/>
      <c r="N887" s="86"/>
      <c r="O887" s="87"/>
    </row>
    <row r="888" spans="2:15">
      <c r="B888" s="83"/>
      <c r="C888" s="84"/>
      <c r="D888" s="85"/>
      <c r="E888" s="85"/>
      <c r="F888" s="86"/>
      <c r="G888" s="86"/>
      <c r="H888" s="87"/>
      <c r="I888" s="86"/>
      <c r="J888" s="87"/>
      <c r="K888" s="86"/>
      <c r="L888" s="86"/>
      <c r="M888" s="87"/>
      <c r="N888" s="86"/>
      <c r="O888" s="87"/>
    </row>
    <row r="889" spans="2:15">
      <c r="B889" s="83"/>
      <c r="C889" s="84"/>
      <c r="D889" s="85"/>
      <c r="E889" s="85"/>
      <c r="F889" s="86"/>
      <c r="G889" s="86"/>
      <c r="H889" s="87"/>
      <c r="I889" s="86"/>
      <c r="J889" s="87"/>
      <c r="K889" s="86"/>
      <c r="L889" s="86"/>
      <c r="M889" s="87"/>
      <c r="N889" s="86"/>
      <c r="O889" s="87"/>
    </row>
    <row r="890" spans="2:15">
      <c r="B890" s="83"/>
      <c r="C890" s="84"/>
      <c r="D890" s="85"/>
      <c r="E890" s="85"/>
      <c r="F890" s="86"/>
      <c r="G890" s="86"/>
      <c r="H890" s="87"/>
      <c r="I890" s="86"/>
      <c r="J890" s="87"/>
      <c r="K890" s="86"/>
      <c r="L890" s="86"/>
      <c r="M890" s="87"/>
      <c r="N890" s="86"/>
      <c r="O890" s="87"/>
    </row>
    <row r="891" spans="2:15">
      <c r="B891" s="83"/>
      <c r="C891" s="84"/>
      <c r="D891" s="85"/>
      <c r="E891" s="85"/>
      <c r="F891" s="86"/>
      <c r="G891" s="86"/>
      <c r="H891" s="87"/>
      <c r="I891" s="86"/>
      <c r="J891" s="87"/>
      <c r="K891" s="86"/>
      <c r="L891" s="86"/>
      <c r="M891" s="87"/>
      <c r="N891" s="86"/>
      <c r="O891" s="87"/>
    </row>
    <row r="892" spans="2:15">
      <c r="B892" s="83"/>
      <c r="C892" s="84"/>
      <c r="D892" s="85"/>
      <c r="E892" s="85"/>
      <c r="F892" s="86"/>
      <c r="G892" s="86"/>
      <c r="H892" s="87"/>
      <c r="I892" s="86"/>
      <c r="J892" s="87"/>
      <c r="K892" s="86"/>
      <c r="L892" s="86"/>
      <c r="M892" s="87"/>
      <c r="N892" s="86"/>
      <c r="O892" s="87"/>
    </row>
    <row r="893" spans="2:15">
      <c r="B893" s="83"/>
      <c r="C893" s="84"/>
      <c r="D893" s="85"/>
      <c r="E893" s="85"/>
      <c r="F893" s="86"/>
      <c r="G893" s="86"/>
      <c r="H893" s="87"/>
      <c r="I893" s="86"/>
      <c r="J893" s="87"/>
      <c r="K893" s="86"/>
      <c r="L893" s="86"/>
      <c r="M893" s="87"/>
      <c r="N893" s="86"/>
      <c r="O893" s="87"/>
    </row>
    <row r="894" spans="2:15">
      <c r="B894" s="83"/>
      <c r="C894" s="84"/>
      <c r="D894" s="85"/>
      <c r="E894" s="85"/>
      <c r="F894" s="86"/>
      <c r="G894" s="86"/>
      <c r="H894" s="87"/>
      <c r="I894" s="86"/>
      <c r="J894" s="87"/>
      <c r="K894" s="86"/>
      <c r="L894" s="86"/>
      <c r="M894" s="87"/>
      <c r="N894" s="86"/>
      <c r="O894" s="87"/>
    </row>
    <row r="895" spans="2:15">
      <c r="B895" s="83"/>
      <c r="C895" s="84"/>
      <c r="D895" s="85"/>
      <c r="E895" s="85"/>
      <c r="F895" s="86"/>
      <c r="G895" s="86"/>
      <c r="H895" s="87"/>
      <c r="I895" s="86"/>
      <c r="J895" s="87"/>
      <c r="K895" s="86"/>
      <c r="L895" s="86"/>
      <c r="M895" s="87"/>
      <c r="N895" s="86"/>
      <c r="O895" s="87"/>
    </row>
    <row r="896" spans="2:15">
      <c r="B896" s="83"/>
      <c r="C896" s="84"/>
      <c r="D896" s="85"/>
      <c r="E896" s="85"/>
      <c r="F896" s="86"/>
      <c r="G896" s="86"/>
      <c r="H896" s="87"/>
      <c r="I896" s="86"/>
      <c r="J896" s="87"/>
      <c r="K896" s="86"/>
      <c r="L896" s="86"/>
      <c r="M896" s="87"/>
      <c r="N896" s="86"/>
      <c r="O896" s="87"/>
    </row>
    <row r="897" spans="2:15">
      <c r="B897" s="83"/>
      <c r="C897" s="84"/>
      <c r="D897" s="85"/>
      <c r="E897" s="85"/>
      <c r="F897" s="86"/>
      <c r="G897" s="86"/>
      <c r="H897" s="87"/>
      <c r="I897" s="86"/>
      <c r="J897" s="87"/>
      <c r="K897" s="86"/>
      <c r="L897" s="86"/>
      <c r="M897" s="87"/>
      <c r="N897" s="86"/>
      <c r="O897" s="87"/>
    </row>
    <row r="898" spans="2:15">
      <c r="B898" s="83"/>
      <c r="C898" s="84"/>
      <c r="D898" s="85"/>
      <c r="E898" s="85"/>
      <c r="F898" s="86"/>
      <c r="G898" s="86"/>
      <c r="H898" s="87"/>
      <c r="I898" s="86"/>
      <c r="J898" s="87"/>
      <c r="K898" s="86"/>
      <c r="L898" s="86"/>
      <c r="M898" s="87"/>
      <c r="N898" s="86"/>
      <c r="O898" s="87"/>
    </row>
    <row r="899" spans="2:15">
      <c r="B899" s="83"/>
      <c r="C899" s="84"/>
      <c r="D899" s="85"/>
      <c r="E899" s="85"/>
      <c r="F899" s="86"/>
      <c r="G899" s="86"/>
      <c r="H899" s="87"/>
      <c r="I899" s="86"/>
      <c r="J899" s="87"/>
      <c r="K899" s="86"/>
      <c r="L899" s="86"/>
      <c r="M899" s="87"/>
      <c r="N899" s="86"/>
      <c r="O899" s="87"/>
    </row>
    <row r="900" spans="2:15">
      <c r="B900" s="83"/>
      <c r="C900" s="84"/>
      <c r="D900" s="85"/>
      <c r="E900" s="85"/>
      <c r="F900" s="86"/>
      <c r="G900" s="86"/>
      <c r="H900" s="87"/>
      <c r="I900" s="86"/>
      <c r="J900" s="87"/>
      <c r="K900" s="86"/>
      <c r="L900" s="86"/>
      <c r="M900" s="87"/>
      <c r="N900" s="86"/>
      <c r="O900" s="87"/>
    </row>
    <row r="901" spans="2:15">
      <c r="B901" s="83"/>
      <c r="C901" s="84"/>
      <c r="D901" s="85"/>
      <c r="E901" s="85"/>
      <c r="F901" s="86"/>
      <c r="G901" s="86"/>
      <c r="H901" s="87"/>
      <c r="I901" s="86"/>
      <c r="J901" s="87"/>
      <c r="K901" s="86"/>
      <c r="L901" s="86"/>
      <c r="M901" s="87"/>
      <c r="N901" s="86"/>
      <c r="O901" s="87"/>
    </row>
    <row r="902" spans="2:15">
      <c r="B902" s="83"/>
      <c r="C902" s="84"/>
      <c r="D902" s="85"/>
      <c r="E902" s="85"/>
      <c r="F902" s="86"/>
      <c r="G902" s="86"/>
      <c r="H902" s="87"/>
      <c r="I902" s="86"/>
      <c r="J902" s="87"/>
      <c r="K902" s="86"/>
      <c r="L902" s="86"/>
      <c r="M902" s="87"/>
      <c r="N902" s="86"/>
      <c r="O902" s="87"/>
    </row>
    <row r="903" spans="2:15">
      <c r="B903" s="83"/>
      <c r="C903" s="84"/>
      <c r="D903" s="85"/>
      <c r="E903" s="85"/>
      <c r="F903" s="86"/>
      <c r="G903" s="86"/>
      <c r="H903" s="87"/>
      <c r="I903" s="86"/>
      <c r="J903" s="87"/>
      <c r="K903" s="86"/>
      <c r="L903" s="86"/>
      <c r="M903" s="87"/>
      <c r="N903" s="86"/>
      <c r="O903" s="87"/>
    </row>
    <row r="904" spans="2:15">
      <c r="B904" s="83"/>
      <c r="C904" s="84"/>
      <c r="D904" s="85"/>
      <c r="E904" s="85"/>
      <c r="F904" s="86"/>
      <c r="G904" s="86"/>
      <c r="H904" s="87"/>
      <c r="I904" s="86"/>
      <c r="J904" s="87"/>
      <c r="K904" s="86"/>
      <c r="L904" s="86"/>
      <c r="M904" s="87"/>
      <c r="N904" s="86"/>
      <c r="O904" s="87"/>
    </row>
    <row r="905" spans="2:15">
      <c r="B905" s="83"/>
      <c r="C905" s="84"/>
      <c r="D905" s="85"/>
      <c r="E905" s="85"/>
      <c r="F905" s="86"/>
      <c r="G905" s="86"/>
      <c r="H905" s="87"/>
      <c r="I905" s="86"/>
      <c r="J905" s="87"/>
      <c r="K905" s="86"/>
      <c r="L905" s="86"/>
      <c r="M905" s="87"/>
      <c r="N905" s="86"/>
      <c r="O905" s="87"/>
    </row>
    <row r="906" spans="2:15">
      <c r="B906" s="83"/>
      <c r="C906" s="84"/>
      <c r="D906" s="85"/>
      <c r="E906" s="85"/>
      <c r="F906" s="86"/>
      <c r="G906" s="86"/>
      <c r="H906" s="87"/>
      <c r="I906" s="86"/>
      <c r="J906" s="87"/>
      <c r="K906" s="86"/>
      <c r="L906" s="86"/>
      <c r="M906" s="87"/>
      <c r="N906" s="86"/>
      <c r="O906" s="87"/>
    </row>
    <row r="907" spans="2:15">
      <c r="B907" s="83"/>
      <c r="C907" s="84"/>
      <c r="D907" s="85"/>
      <c r="E907" s="85"/>
      <c r="F907" s="86"/>
      <c r="G907" s="86"/>
      <c r="H907" s="87"/>
      <c r="I907" s="86"/>
      <c r="J907" s="87"/>
      <c r="K907" s="86"/>
      <c r="L907" s="86"/>
      <c r="M907" s="87"/>
      <c r="N907" s="86"/>
      <c r="O907" s="87"/>
    </row>
    <row r="908" spans="2:15">
      <c r="B908" s="83"/>
      <c r="C908" s="84"/>
      <c r="D908" s="85"/>
      <c r="E908" s="85"/>
      <c r="F908" s="86"/>
      <c r="G908" s="86"/>
      <c r="H908" s="87"/>
      <c r="I908" s="86"/>
      <c r="J908" s="87"/>
      <c r="K908" s="86"/>
      <c r="L908" s="86"/>
      <c r="M908" s="87"/>
      <c r="N908" s="86"/>
      <c r="O908" s="87"/>
    </row>
    <row r="909" spans="2:15">
      <c r="B909" s="83"/>
      <c r="C909" s="84"/>
      <c r="D909" s="85"/>
      <c r="E909" s="85"/>
      <c r="F909" s="86"/>
      <c r="G909" s="86"/>
      <c r="H909" s="87"/>
      <c r="I909" s="86"/>
      <c r="J909" s="87"/>
      <c r="K909" s="86"/>
      <c r="L909" s="86"/>
      <c r="M909" s="87"/>
      <c r="N909" s="86"/>
      <c r="O909" s="87"/>
    </row>
    <row r="910" spans="2:15">
      <c r="B910" s="83"/>
      <c r="C910" s="84"/>
      <c r="D910" s="85"/>
      <c r="E910" s="85"/>
      <c r="F910" s="86"/>
      <c r="G910" s="86"/>
      <c r="H910" s="87"/>
      <c r="I910" s="86"/>
      <c r="J910" s="87"/>
      <c r="K910" s="86"/>
      <c r="L910" s="86"/>
      <c r="M910" s="87"/>
      <c r="N910" s="86"/>
      <c r="O910" s="87"/>
    </row>
    <row r="911" spans="2:15">
      <c r="B911" s="83"/>
      <c r="C911" s="84"/>
      <c r="D911" s="85"/>
      <c r="E911" s="85"/>
      <c r="F911" s="86"/>
      <c r="G911" s="86"/>
      <c r="H911" s="87"/>
      <c r="I911" s="86"/>
      <c r="J911" s="87"/>
      <c r="K911" s="86"/>
      <c r="L911" s="86"/>
      <c r="M911" s="87"/>
      <c r="N911" s="86"/>
      <c r="O911" s="87"/>
    </row>
    <row r="912" spans="2:15">
      <c r="B912" s="83"/>
      <c r="C912" s="84"/>
      <c r="D912" s="85"/>
      <c r="E912" s="85"/>
      <c r="F912" s="86"/>
      <c r="G912" s="86"/>
      <c r="H912" s="87"/>
      <c r="I912" s="86"/>
      <c r="J912" s="87"/>
      <c r="K912" s="86"/>
      <c r="L912" s="86"/>
      <c r="M912" s="87"/>
      <c r="N912" s="86"/>
      <c r="O912" s="87"/>
    </row>
    <row r="913" spans="2:15">
      <c r="B913" s="83"/>
      <c r="C913" s="84"/>
      <c r="D913" s="85"/>
      <c r="E913" s="85"/>
      <c r="F913" s="86"/>
      <c r="G913" s="86"/>
      <c r="H913" s="87"/>
      <c r="I913" s="86"/>
      <c r="J913" s="87"/>
      <c r="K913" s="86"/>
      <c r="L913" s="86"/>
      <c r="M913" s="87"/>
      <c r="N913" s="86"/>
      <c r="O913" s="87"/>
    </row>
    <row r="914" spans="2:15">
      <c r="B914" s="83"/>
      <c r="C914" s="84"/>
      <c r="D914" s="85"/>
      <c r="E914" s="85"/>
      <c r="F914" s="86"/>
      <c r="G914" s="86"/>
      <c r="H914" s="87"/>
      <c r="I914" s="86"/>
      <c r="J914" s="87"/>
      <c r="K914" s="86"/>
      <c r="L914" s="86"/>
      <c r="M914" s="87"/>
      <c r="N914" s="86"/>
      <c r="O914" s="87"/>
    </row>
    <row r="915" spans="2:15">
      <c r="B915" s="83"/>
      <c r="C915" s="84"/>
      <c r="D915" s="85"/>
      <c r="E915" s="85"/>
      <c r="F915" s="86"/>
      <c r="G915" s="86"/>
      <c r="H915" s="87"/>
      <c r="I915" s="86"/>
      <c r="J915" s="87"/>
      <c r="K915" s="86"/>
      <c r="L915" s="86"/>
      <c r="M915" s="87"/>
      <c r="N915" s="86"/>
      <c r="O915" s="87"/>
    </row>
    <row r="916" spans="2:15">
      <c r="B916" s="83"/>
      <c r="C916" s="84"/>
      <c r="D916" s="85"/>
      <c r="E916" s="85"/>
      <c r="F916" s="86"/>
      <c r="G916" s="86"/>
      <c r="H916" s="87"/>
      <c r="I916" s="86"/>
      <c r="J916" s="87"/>
      <c r="K916" s="86"/>
      <c r="L916" s="86"/>
      <c r="M916" s="87"/>
      <c r="N916" s="86"/>
      <c r="O916" s="87"/>
    </row>
    <row r="917" spans="2:15">
      <c r="B917" s="83"/>
      <c r="C917" s="84"/>
      <c r="D917" s="85"/>
      <c r="E917" s="85"/>
      <c r="F917" s="86"/>
      <c r="G917" s="86"/>
      <c r="H917" s="87"/>
      <c r="I917" s="86"/>
      <c r="J917" s="87"/>
      <c r="K917" s="86"/>
      <c r="L917" s="86"/>
      <c r="M917" s="87"/>
      <c r="N917" s="86"/>
      <c r="O917" s="87"/>
    </row>
    <row r="918" spans="2:15">
      <c r="B918" s="83"/>
      <c r="C918" s="84"/>
      <c r="D918" s="85"/>
      <c r="E918" s="85"/>
      <c r="F918" s="86"/>
      <c r="G918" s="86"/>
      <c r="H918" s="87"/>
      <c r="I918" s="86"/>
      <c r="J918" s="87"/>
      <c r="K918" s="86"/>
      <c r="L918" s="86"/>
      <c r="M918" s="87"/>
      <c r="N918" s="86"/>
      <c r="O918" s="87"/>
    </row>
    <row r="919" spans="2:15">
      <c r="B919" s="83"/>
      <c r="C919" s="84"/>
      <c r="D919" s="85"/>
      <c r="E919" s="85"/>
      <c r="F919" s="86"/>
      <c r="G919" s="86"/>
      <c r="H919" s="87"/>
      <c r="I919" s="86"/>
      <c r="J919" s="87"/>
      <c r="K919" s="86"/>
      <c r="L919" s="86"/>
      <c r="M919" s="87"/>
      <c r="N919" s="86"/>
      <c r="O919" s="87"/>
    </row>
    <row r="920" spans="2:15">
      <c r="B920" s="83"/>
      <c r="C920" s="84"/>
      <c r="D920" s="85"/>
      <c r="E920" s="85"/>
      <c r="F920" s="86"/>
      <c r="G920" s="86"/>
      <c r="H920" s="87"/>
      <c r="I920" s="86"/>
      <c r="J920" s="87"/>
      <c r="K920" s="86"/>
      <c r="L920" s="86"/>
      <c r="M920" s="87"/>
      <c r="N920" s="86"/>
      <c r="O920" s="87"/>
    </row>
    <row r="921" spans="2:15">
      <c r="B921" s="83"/>
      <c r="C921" s="84"/>
      <c r="D921" s="85"/>
      <c r="E921" s="85"/>
      <c r="F921" s="86"/>
      <c r="G921" s="86"/>
      <c r="H921" s="87"/>
      <c r="I921" s="86"/>
      <c r="J921" s="87"/>
      <c r="K921" s="86"/>
      <c r="L921" s="86"/>
      <c r="M921" s="87"/>
      <c r="N921" s="86"/>
      <c r="O921" s="87"/>
    </row>
    <row r="922" spans="2:15">
      <c r="B922" s="83"/>
      <c r="C922" s="84"/>
      <c r="D922" s="85"/>
      <c r="E922" s="85"/>
      <c r="F922" s="86"/>
      <c r="G922" s="86"/>
      <c r="H922" s="87"/>
      <c r="I922" s="86"/>
      <c r="J922" s="87"/>
      <c r="K922" s="86"/>
      <c r="L922" s="86"/>
      <c r="M922" s="87"/>
      <c r="N922" s="86"/>
      <c r="O922" s="87"/>
    </row>
    <row r="923" spans="2:15">
      <c r="B923" s="83"/>
      <c r="C923" s="84"/>
      <c r="D923" s="85"/>
      <c r="E923" s="85"/>
      <c r="F923" s="86"/>
      <c r="G923" s="86"/>
      <c r="H923" s="87"/>
      <c r="I923" s="86"/>
      <c r="J923" s="87"/>
      <c r="K923" s="86"/>
      <c r="L923" s="86"/>
      <c r="M923" s="87"/>
      <c r="N923" s="86"/>
      <c r="O923" s="87"/>
    </row>
    <row r="924" spans="2:15">
      <c r="B924" s="83"/>
      <c r="C924" s="84"/>
      <c r="D924" s="85"/>
      <c r="E924" s="85"/>
      <c r="F924" s="86"/>
      <c r="G924" s="86"/>
      <c r="H924" s="87"/>
      <c r="I924" s="86"/>
      <c r="J924" s="87"/>
      <c r="K924" s="86"/>
      <c r="L924" s="86"/>
      <c r="M924" s="87"/>
      <c r="N924" s="86"/>
      <c r="O924" s="87"/>
    </row>
    <row r="925" spans="2:15">
      <c r="B925" s="83"/>
      <c r="C925" s="84"/>
      <c r="D925" s="85"/>
      <c r="E925" s="85"/>
      <c r="F925" s="86"/>
      <c r="G925" s="86"/>
      <c r="H925" s="87"/>
      <c r="I925" s="86"/>
      <c r="J925" s="87"/>
      <c r="K925" s="86"/>
      <c r="L925" s="86"/>
      <c r="M925" s="87"/>
      <c r="N925" s="86"/>
      <c r="O925" s="87"/>
    </row>
    <row r="926" spans="2:15">
      <c r="B926" s="83"/>
      <c r="C926" s="84"/>
      <c r="D926" s="85"/>
      <c r="E926" s="85"/>
      <c r="F926" s="86"/>
      <c r="G926" s="86"/>
      <c r="H926" s="87"/>
      <c r="I926" s="86"/>
      <c r="J926" s="87"/>
      <c r="K926" s="86"/>
      <c r="L926" s="86"/>
      <c r="M926" s="87"/>
      <c r="N926" s="86"/>
      <c r="O926" s="87"/>
    </row>
    <row r="927" spans="2:15">
      <c r="B927" s="83"/>
      <c r="C927" s="84"/>
      <c r="D927" s="85"/>
      <c r="E927" s="85"/>
      <c r="F927" s="86"/>
      <c r="G927" s="86"/>
      <c r="H927" s="87"/>
      <c r="I927" s="86"/>
      <c r="J927" s="87"/>
      <c r="K927" s="86"/>
      <c r="L927" s="86"/>
      <c r="M927" s="87"/>
      <c r="N927" s="86"/>
      <c r="O927" s="87"/>
    </row>
    <row r="928" spans="2:15">
      <c r="B928" s="83"/>
      <c r="C928" s="84"/>
      <c r="D928" s="85"/>
      <c r="E928" s="85"/>
      <c r="F928" s="86"/>
      <c r="G928" s="86"/>
      <c r="H928" s="87"/>
      <c r="I928" s="86"/>
      <c r="J928" s="87"/>
      <c r="K928" s="86"/>
      <c r="L928" s="86"/>
      <c r="M928" s="87"/>
      <c r="N928" s="86"/>
      <c r="O928" s="87"/>
    </row>
    <row r="929" spans="2:15">
      <c r="B929" s="83"/>
      <c r="C929" s="84"/>
      <c r="D929" s="85"/>
      <c r="E929" s="85"/>
      <c r="F929" s="86"/>
      <c r="G929" s="86"/>
      <c r="H929" s="87"/>
      <c r="I929" s="86"/>
      <c r="J929" s="87"/>
      <c r="K929" s="86"/>
      <c r="L929" s="86"/>
      <c r="M929" s="87"/>
      <c r="N929" s="86"/>
      <c r="O929" s="87"/>
    </row>
    <row r="930" spans="2:15">
      <c r="B930" s="83"/>
      <c r="C930" s="84"/>
      <c r="D930" s="85"/>
      <c r="E930" s="85"/>
      <c r="F930" s="86"/>
      <c r="G930" s="86"/>
      <c r="H930" s="87"/>
      <c r="I930" s="86"/>
      <c r="J930" s="87"/>
      <c r="K930" s="86"/>
      <c r="L930" s="86"/>
      <c r="M930" s="87"/>
      <c r="N930" s="86"/>
      <c r="O930" s="87"/>
    </row>
    <row r="931" spans="2:15">
      <c r="B931" s="83"/>
      <c r="C931" s="84"/>
      <c r="D931" s="85"/>
      <c r="E931" s="85"/>
      <c r="F931" s="86"/>
      <c r="G931" s="86"/>
      <c r="H931" s="87"/>
      <c r="I931" s="86"/>
      <c r="J931" s="87"/>
      <c r="K931" s="86"/>
      <c r="L931" s="86"/>
      <c r="M931" s="87"/>
      <c r="N931" s="86"/>
      <c r="O931" s="87"/>
    </row>
    <row r="932" spans="2:15">
      <c r="B932" s="83"/>
      <c r="C932" s="84"/>
      <c r="D932" s="85"/>
      <c r="E932" s="85"/>
      <c r="F932" s="86"/>
      <c r="G932" s="86"/>
      <c r="H932" s="87"/>
      <c r="I932" s="86"/>
      <c r="J932" s="87"/>
      <c r="K932" s="86"/>
      <c r="L932" s="86"/>
      <c r="M932" s="87"/>
      <c r="N932" s="86"/>
      <c r="O932" s="87"/>
    </row>
    <row r="933" spans="2:15">
      <c r="B933" s="83"/>
      <c r="C933" s="84"/>
      <c r="D933" s="85"/>
      <c r="E933" s="85"/>
      <c r="F933" s="86"/>
      <c r="G933" s="86"/>
      <c r="H933" s="87"/>
      <c r="I933" s="86"/>
      <c r="J933" s="87"/>
      <c r="K933" s="86"/>
      <c r="L933" s="86"/>
      <c r="M933" s="87"/>
      <c r="N933" s="86"/>
      <c r="O933" s="87"/>
    </row>
    <row r="934" spans="2:15">
      <c r="B934" s="83"/>
      <c r="C934" s="84"/>
      <c r="D934" s="85"/>
      <c r="E934" s="85"/>
      <c r="F934" s="86"/>
      <c r="G934" s="86"/>
      <c r="H934" s="87"/>
      <c r="I934" s="86"/>
      <c r="J934" s="87"/>
      <c r="K934" s="86"/>
      <c r="L934" s="86"/>
      <c r="M934" s="87"/>
      <c r="N934" s="86"/>
      <c r="O934" s="87"/>
    </row>
    <row r="935" spans="2:15">
      <c r="B935" s="83"/>
      <c r="C935" s="84"/>
      <c r="D935" s="85"/>
      <c r="E935" s="85"/>
      <c r="F935" s="86"/>
      <c r="G935" s="86"/>
      <c r="H935" s="87"/>
      <c r="I935" s="86"/>
      <c r="J935" s="87"/>
      <c r="K935" s="86"/>
      <c r="L935" s="86"/>
      <c r="M935" s="87"/>
      <c r="N935" s="86"/>
      <c r="O935" s="87"/>
    </row>
    <row r="936" spans="2:15">
      <c r="B936" s="83"/>
      <c r="C936" s="84"/>
      <c r="D936" s="85"/>
      <c r="E936" s="85"/>
      <c r="F936" s="86"/>
      <c r="G936" s="86"/>
      <c r="H936" s="87"/>
      <c r="I936" s="86"/>
      <c r="J936" s="87"/>
      <c r="K936" s="86"/>
      <c r="L936" s="86"/>
      <c r="M936" s="87"/>
      <c r="N936" s="86"/>
      <c r="O936" s="87"/>
    </row>
    <row r="937" spans="2:15">
      <c r="B937" s="83"/>
      <c r="C937" s="84"/>
      <c r="D937" s="85"/>
      <c r="E937" s="85"/>
      <c r="F937" s="86"/>
      <c r="G937" s="86"/>
      <c r="H937" s="87"/>
      <c r="I937" s="86"/>
      <c r="J937" s="87"/>
      <c r="K937" s="86"/>
      <c r="L937" s="86"/>
      <c r="M937" s="87"/>
      <c r="N937" s="86"/>
      <c r="O937" s="87"/>
    </row>
    <row r="938" spans="2:15">
      <c r="B938" s="83"/>
      <c r="C938" s="84"/>
      <c r="D938" s="85"/>
      <c r="E938" s="85"/>
      <c r="F938" s="86"/>
      <c r="G938" s="86"/>
      <c r="H938" s="87"/>
      <c r="I938" s="86"/>
      <c r="J938" s="87"/>
      <c r="K938" s="86"/>
      <c r="L938" s="86"/>
      <c r="M938" s="87"/>
      <c r="N938" s="86"/>
      <c r="O938" s="87"/>
    </row>
    <row r="939" spans="2:15">
      <c r="B939" s="83"/>
      <c r="C939" s="84"/>
      <c r="D939" s="85"/>
      <c r="E939" s="85"/>
      <c r="F939" s="86"/>
      <c r="G939" s="86"/>
      <c r="H939" s="87"/>
      <c r="I939" s="86"/>
      <c r="J939" s="87"/>
      <c r="K939" s="86"/>
      <c r="L939" s="86"/>
      <c r="M939" s="87"/>
      <c r="N939" s="86"/>
      <c r="O939" s="87"/>
    </row>
    <row r="940" spans="2:15">
      <c r="B940" s="83"/>
      <c r="C940" s="84"/>
      <c r="D940" s="85"/>
      <c r="E940" s="85"/>
      <c r="F940" s="86"/>
      <c r="G940" s="86"/>
      <c r="H940" s="87"/>
      <c r="I940" s="86"/>
      <c r="J940" s="87"/>
      <c r="K940" s="86"/>
      <c r="L940" s="86"/>
      <c r="M940" s="87"/>
      <c r="N940" s="86"/>
      <c r="O940" s="87"/>
    </row>
    <row r="941" spans="2:15">
      <c r="B941" s="83"/>
      <c r="C941" s="84"/>
      <c r="D941" s="85"/>
      <c r="E941" s="85"/>
      <c r="F941" s="86"/>
      <c r="G941" s="86"/>
      <c r="H941" s="87"/>
      <c r="I941" s="86"/>
      <c r="J941" s="87"/>
      <c r="K941" s="86"/>
      <c r="L941" s="86"/>
      <c r="M941" s="87"/>
      <c r="N941" s="86"/>
      <c r="O941" s="87"/>
    </row>
    <row r="942" spans="2:15">
      <c r="B942" s="83"/>
      <c r="C942" s="84"/>
      <c r="D942" s="85"/>
      <c r="E942" s="85"/>
      <c r="F942" s="86"/>
      <c r="G942" s="86"/>
      <c r="H942" s="87"/>
      <c r="I942" s="86"/>
      <c r="J942" s="87"/>
      <c r="K942" s="86"/>
      <c r="L942" s="86"/>
      <c r="M942" s="87"/>
      <c r="N942" s="86"/>
      <c r="O942" s="87"/>
    </row>
    <row r="943" spans="2:15">
      <c r="B943" s="83"/>
      <c r="C943" s="84"/>
      <c r="D943" s="85"/>
      <c r="E943" s="85"/>
      <c r="F943" s="86"/>
      <c r="G943" s="86"/>
      <c r="H943" s="87"/>
      <c r="I943" s="86"/>
      <c r="J943" s="87"/>
      <c r="K943" s="86"/>
      <c r="L943" s="86"/>
      <c r="M943" s="87"/>
      <c r="N943" s="86"/>
      <c r="O943" s="87"/>
    </row>
    <row r="944" spans="2:15">
      <c r="B944" s="83"/>
      <c r="C944" s="84"/>
      <c r="D944" s="85"/>
      <c r="E944" s="85"/>
      <c r="F944" s="86"/>
      <c r="G944" s="86"/>
      <c r="H944" s="87"/>
      <c r="I944" s="86"/>
      <c r="J944" s="87"/>
      <c r="K944" s="86"/>
      <c r="L944" s="86"/>
      <c r="M944" s="87"/>
      <c r="N944" s="86"/>
      <c r="O944" s="87"/>
    </row>
    <row r="945" spans="2:15">
      <c r="B945" s="83"/>
      <c r="C945" s="84"/>
      <c r="D945" s="85"/>
      <c r="E945" s="85"/>
      <c r="F945" s="86"/>
      <c r="G945" s="86"/>
      <c r="H945" s="87"/>
      <c r="I945" s="86"/>
      <c r="J945" s="87"/>
      <c r="K945" s="86"/>
      <c r="L945" s="86"/>
      <c r="M945" s="87"/>
      <c r="N945" s="86"/>
      <c r="O945" s="87"/>
    </row>
    <row r="946" spans="2:15">
      <c r="B946" s="83"/>
      <c r="C946" s="84"/>
      <c r="D946" s="85"/>
      <c r="E946" s="85"/>
      <c r="F946" s="86"/>
      <c r="G946" s="86"/>
      <c r="H946" s="87"/>
      <c r="I946" s="86"/>
      <c r="J946" s="87"/>
      <c r="K946" s="86"/>
      <c r="L946" s="86"/>
      <c r="M946" s="87"/>
      <c r="N946" s="86"/>
      <c r="O946" s="87"/>
    </row>
    <row r="947" spans="2:15">
      <c r="B947" s="83"/>
      <c r="C947" s="84"/>
      <c r="D947" s="85"/>
      <c r="E947" s="85"/>
      <c r="F947" s="86"/>
      <c r="G947" s="86"/>
      <c r="H947" s="87"/>
      <c r="I947" s="86"/>
      <c r="J947" s="87"/>
      <c r="K947" s="86"/>
      <c r="L947" s="86"/>
      <c r="M947" s="87"/>
      <c r="N947" s="86"/>
      <c r="O947" s="87"/>
    </row>
    <row r="948" spans="2:15">
      <c r="B948" s="83"/>
      <c r="C948" s="84"/>
      <c r="D948" s="85"/>
      <c r="E948" s="85"/>
      <c r="F948" s="86"/>
      <c r="G948" s="86"/>
      <c r="H948" s="87"/>
      <c r="I948" s="86"/>
      <c r="J948" s="87"/>
      <c r="K948" s="86"/>
      <c r="L948" s="86"/>
      <c r="M948" s="87"/>
      <c r="N948" s="86"/>
      <c r="O948" s="87"/>
    </row>
    <row r="949" spans="2:15">
      <c r="B949" s="83"/>
      <c r="C949" s="84"/>
      <c r="D949" s="85"/>
      <c r="E949" s="85"/>
      <c r="F949" s="86"/>
      <c r="G949" s="86"/>
      <c r="H949" s="87"/>
      <c r="I949" s="86"/>
      <c r="J949" s="87"/>
      <c r="K949" s="86"/>
      <c r="L949" s="86"/>
      <c r="M949" s="87"/>
      <c r="N949" s="86"/>
      <c r="O949" s="87"/>
    </row>
    <row r="950" spans="2:15">
      <c r="B950" s="83"/>
      <c r="C950" s="84"/>
      <c r="D950" s="85"/>
      <c r="E950" s="85"/>
      <c r="F950" s="86"/>
      <c r="G950" s="86"/>
      <c r="H950" s="87"/>
      <c r="I950" s="86"/>
      <c r="J950" s="87"/>
      <c r="K950" s="86"/>
      <c r="L950" s="86"/>
      <c r="M950" s="87"/>
      <c r="N950" s="86"/>
      <c r="O950" s="87"/>
    </row>
    <row r="951" spans="2:15">
      <c r="B951" s="83"/>
      <c r="C951" s="84"/>
      <c r="D951" s="85"/>
      <c r="E951" s="85"/>
      <c r="F951" s="86"/>
      <c r="G951" s="86"/>
      <c r="H951" s="87"/>
      <c r="I951" s="86"/>
      <c r="J951" s="87"/>
      <c r="K951" s="86"/>
      <c r="L951" s="86"/>
      <c r="M951" s="87"/>
      <c r="N951" s="86"/>
      <c r="O951" s="87"/>
    </row>
    <row r="952" spans="2:15">
      <c r="B952" s="83"/>
      <c r="C952" s="84"/>
      <c r="D952" s="85"/>
      <c r="E952" s="85"/>
      <c r="F952" s="86"/>
      <c r="G952" s="86"/>
      <c r="H952" s="87"/>
      <c r="I952" s="86"/>
      <c r="J952" s="87"/>
      <c r="K952" s="86"/>
      <c r="L952" s="86"/>
      <c r="M952" s="87"/>
      <c r="N952" s="86"/>
      <c r="O952" s="87"/>
    </row>
    <row r="953" spans="2:15">
      <c r="B953" s="83"/>
      <c r="C953" s="84"/>
      <c r="D953" s="85"/>
      <c r="E953" s="85"/>
      <c r="F953" s="86"/>
      <c r="G953" s="86"/>
      <c r="H953" s="87"/>
      <c r="I953" s="86"/>
      <c r="J953" s="87"/>
      <c r="K953" s="86"/>
      <c r="L953" s="86"/>
      <c r="M953" s="87"/>
      <c r="N953" s="86"/>
      <c r="O953" s="87"/>
    </row>
    <row r="954" spans="2:15">
      <c r="B954" s="83"/>
      <c r="C954" s="84"/>
      <c r="D954" s="85"/>
      <c r="E954" s="85"/>
      <c r="F954" s="86"/>
      <c r="G954" s="86"/>
      <c r="H954" s="87"/>
      <c r="I954" s="86"/>
      <c r="J954" s="87"/>
      <c r="K954" s="86"/>
      <c r="L954" s="86"/>
      <c r="M954" s="87"/>
      <c r="N954" s="86"/>
      <c r="O954" s="87"/>
    </row>
    <row r="955" spans="2:15">
      <c r="B955" s="83"/>
      <c r="C955" s="84"/>
      <c r="D955" s="85"/>
      <c r="E955" s="85"/>
      <c r="F955" s="86"/>
      <c r="G955" s="86"/>
      <c r="H955" s="87"/>
      <c r="I955" s="86"/>
      <c r="J955" s="87"/>
      <c r="K955" s="86"/>
      <c r="L955" s="86"/>
      <c r="M955" s="87"/>
      <c r="N955" s="86"/>
      <c r="O955" s="87"/>
    </row>
    <row r="956" spans="2:15">
      <c r="B956" s="83"/>
      <c r="C956" s="84"/>
      <c r="D956" s="85"/>
      <c r="E956" s="85"/>
      <c r="F956" s="86"/>
      <c r="G956" s="86"/>
      <c r="H956" s="87"/>
      <c r="I956" s="86"/>
      <c r="J956" s="87"/>
      <c r="K956" s="86"/>
      <c r="L956" s="86"/>
      <c r="M956" s="87"/>
      <c r="N956" s="86"/>
      <c r="O956" s="87"/>
    </row>
    <row r="957" spans="2:15">
      <c r="B957" s="83"/>
      <c r="C957" s="84"/>
      <c r="D957" s="85"/>
      <c r="E957" s="85"/>
      <c r="F957" s="86"/>
      <c r="G957" s="86"/>
      <c r="H957" s="87"/>
      <c r="I957" s="86"/>
      <c r="J957" s="87"/>
      <c r="K957" s="86"/>
      <c r="L957" s="86"/>
      <c r="M957" s="87"/>
      <c r="N957" s="86"/>
      <c r="O957" s="87"/>
    </row>
    <row r="958" spans="2:15">
      <c r="B958" s="83"/>
      <c r="C958" s="84"/>
      <c r="D958" s="85"/>
      <c r="E958" s="85"/>
      <c r="F958" s="86"/>
      <c r="G958" s="86"/>
      <c r="H958" s="87"/>
      <c r="I958" s="86"/>
      <c r="J958" s="87"/>
      <c r="K958" s="86"/>
      <c r="L958" s="86"/>
      <c r="M958" s="87"/>
      <c r="N958" s="86"/>
      <c r="O958" s="87"/>
    </row>
    <row r="959" spans="2:15">
      <c r="B959" s="83"/>
      <c r="C959" s="84"/>
      <c r="D959" s="85"/>
      <c r="E959" s="85"/>
      <c r="F959" s="86"/>
      <c r="G959" s="86"/>
      <c r="H959" s="87"/>
      <c r="I959" s="86"/>
      <c r="J959" s="87"/>
      <c r="K959" s="86"/>
      <c r="L959" s="86"/>
      <c r="M959" s="87"/>
      <c r="N959" s="86"/>
      <c r="O959" s="87"/>
    </row>
    <row r="960" spans="2:15">
      <c r="B960" s="83"/>
      <c r="C960" s="84"/>
      <c r="D960" s="85"/>
      <c r="E960" s="85"/>
      <c r="F960" s="86"/>
      <c r="G960" s="86"/>
      <c r="H960" s="87"/>
      <c r="I960" s="86"/>
      <c r="J960" s="87"/>
      <c r="K960" s="86"/>
      <c r="L960" s="86"/>
      <c r="M960" s="87"/>
      <c r="N960" s="86"/>
      <c r="O960" s="87"/>
    </row>
    <row r="961" spans="2:15">
      <c r="B961" s="83"/>
      <c r="C961" s="84"/>
      <c r="D961" s="85"/>
      <c r="E961" s="85"/>
      <c r="F961" s="86"/>
      <c r="G961" s="86"/>
      <c r="H961" s="87"/>
      <c r="I961" s="86"/>
      <c r="J961" s="87"/>
      <c r="K961" s="86"/>
      <c r="L961" s="86"/>
      <c r="M961" s="87"/>
      <c r="N961" s="86"/>
      <c r="O961" s="87"/>
    </row>
    <row r="962" spans="2:15">
      <c r="B962" s="83"/>
      <c r="C962" s="84"/>
      <c r="D962" s="85"/>
      <c r="E962" s="85"/>
      <c r="F962" s="86"/>
      <c r="G962" s="86"/>
      <c r="H962" s="87"/>
      <c r="I962" s="86"/>
      <c r="J962" s="87"/>
      <c r="K962" s="86"/>
      <c r="L962" s="86"/>
      <c r="M962" s="87"/>
      <c r="N962" s="86"/>
      <c r="O962" s="87"/>
    </row>
    <row r="963" spans="2:15">
      <c r="B963" s="83"/>
      <c r="C963" s="84"/>
      <c r="D963" s="85"/>
      <c r="E963" s="85"/>
      <c r="F963" s="86"/>
      <c r="G963" s="86"/>
      <c r="H963" s="87"/>
      <c r="I963" s="86"/>
      <c r="J963" s="87"/>
      <c r="K963" s="86"/>
      <c r="L963" s="86"/>
      <c r="M963" s="87"/>
      <c r="N963" s="86"/>
      <c r="O963" s="87"/>
    </row>
    <row r="964" spans="2:15">
      <c r="B964" s="83"/>
      <c r="C964" s="84"/>
      <c r="D964" s="85"/>
      <c r="E964" s="85"/>
      <c r="F964" s="86"/>
      <c r="G964" s="86"/>
      <c r="H964" s="87"/>
      <c r="I964" s="86"/>
      <c r="J964" s="87"/>
      <c r="K964" s="86"/>
      <c r="L964" s="86"/>
      <c r="M964" s="87"/>
      <c r="N964" s="86"/>
      <c r="O964" s="87"/>
    </row>
    <row r="965" spans="2:15">
      <c r="B965" s="83"/>
      <c r="C965" s="84"/>
      <c r="D965" s="85"/>
      <c r="E965" s="85"/>
      <c r="F965" s="86"/>
      <c r="G965" s="86"/>
      <c r="H965" s="87"/>
      <c r="I965" s="86"/>
      <c r="J965" s="87"/>
      <c r="K965" s="86"/>
      <c r="L965" s="86"/>
      <c r="M965" s="87"/>
      <c r="N965" s="86"/>
      <c r="O965" s="87"/>
    </row>
    <row r="966" spans="2:15">
      <c r="B966" s="83"/>
      <c r="C966" s="84"/>
      <c r="D966" s="85"/>
      <c r="E966" s="85"/>
      <c r="F966" s="86"/>
      <c r="G966" s="86"/>
      <c r="H966" s="87"/>
      <c r="I966" s="86"/>
      <c r="J966" s="87"/>
      <c r="K966" s="86"/>
      <c r="L966" s="86"/>
      <c r="M966" s="87"/>
      <c r="N966" s="86"/>
      <c r="O966" s="87"/>
    </row>
    <row r="967" spans="2:15">
      <c r="B967" s="83"/>
      <c r="C967" s="84"/>
      <c r="D967" s="85"/>
      <c r="E967" s="85"/>
      <c r="F967" s="86"/>
      <c r="G967" s="86"/>
      <c r="H967" s="87"/>
      <c r="I967" s="86"/>
      <c r="J967" s="87"/>
      <c r="K967" s="86"/>
      <c r="L967" s="86"/>
      <c r="M967" s="87"/>
      <c r="N967" s="86"/>
      <c r="O967" s="87"/>
    </row>
    <row r="968" spans="2:15">
      <c r="B968" s="83"/>
      <c r="C968" s="84"/>
      <c r="D968" s="85"/>
      <c r="E968" s="85"/>
      <c r="F968" s="86"/>
      <c r="G968" s="86"/>
      <c r="H968" s="87"/>
      <c r="I968" s="86"/>
      <c r="J968" s="87"/>
      <c r="K968" s="86"/>
      <c r="L968" s="86"/>
      <c r="M968" s="87"/>
      <c r="N968" s="86"/>
      <c r="O968" s="87"/>
    </row>
    <row r="969" spans="2:15">
      <c r="B969" s="83"/>
      <c r="C969" s="84"/>
      <c r="D969" s="85"/>
      <c r="E969" s="85"/>
      <c r="F969" s="86"/>
      <c r="G969" s="86"/>
      <c r="H969" s="87"/>
      <c r="I969" s="86"/>
      <c r="J969" s="87"/>
      <c r="K969" s="86"/>
      <c r="L969" s="86"/>
      <c r="M969" s="87"/>
      <c r="N969" s="86"/>
      <c r="O969" s="87"/>
    </row>
    <row r="970" spans="2:15">
      <c r="B970" s="83"/>
      <c r="C970" s="84"/>
      <c r="D970" s="85"/>
      <c r="E970" s="85"/>
      <c r="F970" s="86"/>
      <c r="G970" s="86"/>
      <c r="H970" s="87"/>
      <c r="I970" s="86"/>
      <c r="J970" s="87"/>
      <c r="K970" s="86"/>
      <c r="L970" s="86"/>
      <c r="M970" s="87"/>
      <c r="N970" s="86"/>
      <c r="O970" s="87"/>
    </row>
    <row r="971" spans="2:15">
      <c r="B971" s="83"/>
      <c r="C971" s="84"/>
      <c r="D971" s="85"/>
      <c r="E971" s="85"/>
      <c r="F971" s="86"/>
      <c r="G971" s="86"/>
      <c r="H971" s="87"/>
      <c r="I971" s="86"/>
      <c r="J971" s="87"/>
      <c r="K971" s="86"/>
      <c r="L971" s="86"/>
      <c r="M971" s="87"/>
      <c r="N971" s="86"/>
      <c r="O971" s="87"/>
    </row>
    <row r="972" spans="2:15">
      <c r="B972" s="83"/>
      <c r="C972" s="84"/>
      <c r="D972" s="85"/>
      <c r="E972" s="85"/>
      <c r="F972" s="86"/>
      <c r="G972" s="86"/>
      <c r="H972" s="87"/>
      <c r="I972" s="86"/>
      <c r="J972" s="87"/>
      <c r="K972" s="86"/>
      <c r="L972" s="86"/>
      <c r="M972" s="87"/>
      <c r="N972" s="86"/>
      <c r="O972" s="87"/>
    </row>
    <row r="973" spans="2:15">
      <c r="B973" s="83"/>
      <c r="C973" s="84"/>
      <c r="D973" s="85"/>
      <c r="E973" s="85"/>
      <c r="F973" s="86"/>
      <c r="G973" s="86"/>
      <c r="H973" s="87"/>
      <c r="I973" s="86"/>
      <c r="J973" s="87"/>
      <c r="K973" s="86"/>
      <c r="L973" s="86"/>
      <c r="M973" s="87"/>
      <c r="N973" s="86"/>
      <c r="O973" s="87"/>
    </row>
    <row r="974" spans="2:15">
      <c r="B974" s="83"/>
      <c r="C974" s="84"/>
      <c r="D974" s="85"/>
      <c r="E974" s="85"/>
      <c r="F974" s="86"/>
      <c r="G974" s="86"/>
      <c r="H974" s="87"/>
      <c r="I974" s="86"/>
      <c r="J974" s="87"/>
      <c r="K974" s="86"/>
      <c r="L974" s="86"/>
      <c r="M974" s="87"/>
      <c r="N974" s="86"/>
      <c r="O974" s="87"/>
    </row>
    <row r="975" spans="2:15">
      <c r="B975" s="83"/>
      <c r="C975" s="84"/>
      <c r="D975" s="85"/>
      <c r="E975" s="85"/>
      <c r="F975" s="86"/>
      <c r="G975" s="86"/>
      <c r="H975" s="87"/>
      <c r="I975" s="86"/>
      <c r="J975" s="87"/>
      <c r="K975" s="86"/>
      <c r="L975" s="86"/>
      <c r="M975" s="87"/>
      <c r="N975" s="86"/>
      <c r="O975" s="87"/>
    </row>
    <row r="976" spans="2:15">
      <c r="B976" s="83"/>
      <c r="C976" s="84"/>
      <c r="D976" s="85"/>
      <c r="E976" s="85"/>
      <c r="F976" s="86"/>
      <c r="G976" s="86"/>
      <c r="H976" s="87"/>
      <c r="I976" s="86"/>
      <c r="J976" s="87"/>
      <c r="K976" s="86"/>
      <c r="L976" s="86"/>
      <c r="M976" s="87"/>
      <c r="N976" s="86"/>
      <c r="O976" s="87"/>
    </row>
    <row r="977" spans="2:15">
      <c r="B977" s="83"/>
      <c r="C977" s="84"/>
      <c r="D977" s="85"/>
      <c r="E977" s="85"/>
      <c r="F977" s="86"/>
      <c r="G977" s="86"/>
      <c r="H977" s="87"/>
      <c r="I977" s="86"/>
      <c r="J977" s="87"/>
      <c r="K977" s="86"/>
      <c r="L977" s="86"/>
      <c r="M977" s="87"/>
      <c r="N977" s="86"/>
      <c r="O977" s="87"/>
    </row>
    <row r="978" spans="2:15">
      <c r="B978" s="83"/>
      <c r="C978" s="84"/>
      <c r="D978" s="85"/>
      <c r="E978" s="85"/>
      <c r="F978" s="86"/>
      <c r="G978" s="86"/>
      <c r="H978" s="87"/>
      <c r="I978" s="86"/>
      <c r="J978" s="87"/>
      <c r="K978" s="86"/>
      <c r="L978" s="86"/>
      <c r="M978" s="87"/>
      <c r="N978" s="86"/>
      <c r="O978" s="87"/>
    </row>
    <row r="979" spans="2:15">
      <c r="B979" s="83"/>
      <c r="C979" s="84"/>
      <c r="D979" s="85"/>
      <c r="E979" s="85"/>
      <c r="F979" s="86"/>
      <c r="G979" s="86"/>
      <c r="H979" s="87"/>
      <c r="I979" s="86"/>
      <c r="J979" s="87"/>
      <c r="K979" s="86"/>
      <c r="L979" s="86"/>
      <c r="M979" s="87"/>
      <c r="N979" s="86"/>
      <c r="O979" s="87"/>
    </row>
    <row r="980" spans="2:15">
      <c r="B980" s="83"/>
      <c r="C980" s="84"/>
      <c r="D980" s="85"/>
      <c r="E980" s="85"/>
      <c r="F980" s="86"/>
      <c r="G980" s="86"/>
      <c r="H980" s="87"/>
      <c r="I980" s="86"/>
      <c r="J980" s="87"/>
      <c r="K980" s="86"/>
      <c r="L980" s="86"/>
      <c r="M980" s="87"/>
      <c r="N980" s="86"/>
      <c r="O980" s="87"/>
    </row>
    <row r="981" spans="2:15">
      <c r="B981" s="83"/>
      <c r="C981" s="84"/>
      <c r="D981" s="85"/>
      <c r="E981" s="85"/>
      <c r="F981" s="86"/>
      <c r="G981" s="86"/>
      <c r="H981" s="87"/>
      <c r="I981" s="86"/>
      <c r="J981" s="87"/>
      <c r="K981" s="86"/>
      <c r="L981" s="86"/>
      <c r="M981" s="87"/>
      <c r="N981" s="86"/>
      <c r="O981" s="87"/>
    </row>
    <row r="982" spans="2:15">
      <c r="B982" s="83"/>
      <c r="C982" s="84"/>
      <c r="D982" s="85"/>
      <c r="E982" s="85"/>
      <c r="F982" s="86"/>
      <c r="G982" s="86"/>
      <c r="H982" s="87"/>
      <c r="I982" s="86"/>
      <c r="J982" s="87"/>
      <c r="K982" s="86"/>
      <c r="L982" s="86"/>
      <c r="M982" s="87"/>
      <c r="N982" s="86"/>
      <c r="O982" s="87"/>
    </row>
    <row r="983" spans="2:15">
      <c r="B983" s="83"/>
      <c r="C983" s="84"/>
      <c r="D983" s="85"/>
      <c r="E983" s="85"/>
      <c r="F983" s="86"/>
      <c r="G983" s="86"/>
      <c r="H983" s="87"/>
      <c r="I983" s="86"/>
      <c r="J983" s="87"/>
      <c r="K983" s="86"/>
      <c r="L983" s="86"/>
      <c r="M983" s="87"/>
      <c r="N983" s="86"/>
      <c r="O983" s="87"/>
    </row>
    <row r="984" spans="2:15">
      <c r="B984" s="83"/>
      <c r="C984" s="84"/>
      <c r="D984" s="85"/>
      <c r="E984" s="85"/>
      <c r="F984" s="86"/>
      <c r="G984" s="86"/>
      <c r="H984" s="87"/>
      <c r="I984" s="86"/>
      <c r="J984" s="87"/>
      <c r="K984" s="86"/>
      <c r="L984" s="86"/>
      <c r="M984" s="87"/>
      <c r="N984" s="86"/>
      <c r="O984" s="87"/>
    </row>
    <row r="985" spans="2:15">
      <c r="B985" s="83"/>
      <c r="C985" s="84"/>
      <c r="D985" s="85"/>
      <c r="E985" s="85"/>
      <c r="F985" s="86"/>
      <c r="G985" s="86"/>
      <c r="H985" s="87"/>
      <c r="I985" s="86"/>
      <c r="J985" s="87"/>
      <c r="K985" s="86"/>
      <c r="L985" s="86"/>
      <c r="M985" s="87"/>
      <c r="N985" s="86"/>
      <c r="O985" s="87"/>
    </row>
    <row r="986" spans="2:15">
      <c r="B986" s="83"/>
      <c r="C986" s="84"/>
      <c r="D986" s="85"/>
      <c r="E986" s="85"/>
      <c r="F986" s="86"/>
      <c r="G986" s="86"/>
      <c r="H986" s="87"/>
      <c r="I986" s="86"/>
      <c r="J986" s="87"/>
      <c r="K986" s="86"/>
      <c r="L986" s="86"/>
      <c r="M986" s="87"/>
      <c r="N986" s="86"/>
      <c r="O986" s="87"/>
    </row>
    <row r="987" spans="2:15">
      <c r="B987" s="83"/>
      <c r="C987" s="84"/>
      <c r="D987" s="85"/>
      <c r="E987" s="85"/>
      <c r="F987" s="86"/>
      <c r="G987" s="86"/>
      <c r="H987" s="87"/>
      <c r="I987" s="86"/>
      <c r="J987" s="87"/>
      <c r="K987" s="86"/>
      <c r="L987" s="86"/>
      <c r="M987" s="87"/>
      <c r="N987" s="86"/>
      <c r="O987" s="87"/>
    </row>
    <row r="988" spans="2:15">
      <c r="B988" s="83"/>
      <c r="C988" s="84"/>
      <c r="D988" s="85"/>
      <c r="E988" s="85"/>
      <c r="F988" s="86"/>
      <c r="G988" s="86"/>
      <c r="H988" s="87"/>
      <c r="I988" s="86"/>
      <c r="J988" s="87"/>
      <c r="K988" s="86"/>
      <c r="L988" s="86"/>
      <c r="M988" s="87"/>
      <c r="N988" s="86"/>
      <c r="O988" s="87"/>
    </row>
    <row r="989" spans="2:15">
      <c r="B989" s="83"/>
      <c r="C989" s="84"/>
      <c r="D989" s="85"/>
      <c r="E989" s="85"/>
      <c r="F989" s="86"/>
      <c r="G989" s="86"/>
      <c r="H989" s="87"/>
      <c r="I989" s="86"/>
      <c r="J989" s="87"/>
      <c r="K989" s="86"/>
      <c r="L989" s="86"/>
      <c r="M989" s="87"/>
      <c r="N989" s="86"/>
      <c r="O989" s="87"/>
    </row>
    <row r="990" spans="2:15">
      <c r="B990" s="83"/>
      <c r="C990" s="84"/>
      <c r="D990" s="85"/>
      <c r="E990" s="85"/>
      <c r="F990" s="86"/>
      <c r="G990" s="86"/>
      <c r="H990" s="87"/>
      <c r="I990" s="86"/>
      <c r="J990" s="87"/>
      <c r="K990" s="86"/>
      <c r="L990" s="86"/>
      <c r="M990" s="87"/>
      <c r="N990" s="86"/>
      <c r="O990" s="87"/>
    </row>
    <row r="991" spans="2:15">
      <c r="B991" s="83"/>
      <c r="C991" s="84"/>
      <c r="D991" s="85"/>
      <c r="E991" s="85"/>
      <c r="F991" s="86"/>
      <c r="G991" s="86"/>
      <c r="H991" s="87"/>
      <c r="I991" s="86"/>
      <c r="J991" s="87"/>
      <c r="K991" s="86"/>
      <c r="L991" s="86"/>
      <c r="M991" s="87"/>
      <c r="N991" s="86"/>
      <c r="O991" s="87"/>
    </row>
    <row r="992" spans="2:15">
      <c r="B992" s="83"/>
      <c r="C992" s="84"/>
      <c r="D992" s="85"/>
      <c r="E992" s="85"/>
      <c r="F992" s="86"/>
      <c r="G992" s="86"/>
      <c r="H992" s="87"/>
      <c r="I992" s="86"/>
      <c r="J992" s="87"/>
      <c r="K992" s="86"/>
      <c r="L992" s="86"/>
      <c r="M992" s="87"/>
      <c r="N992" s="86"/>
      <c r="O992" s="87"/>
    </row>
    <row r="993" spans="2:15">
      <c r="B993" s="83"/>
      <c r="C993" s="84"/>
      <c r="D993" s="85"/>
      <c r="E993" s="85"/>
      <c r="F993" s="86"/>
      <c r="G993" s="86"/>
      <c r="H993" s="87"/>
      <c r="I993" s="86"/>
      <c r="J993" s="87"/>
      <c r="K993" s="86"/>
      <c r="L993" s="86"/>
      <c r="M993" s="87"/>
      <c r="N993" s="86"/>
      <c r="O993" s="87"/>
    </row>
    <row r="994" spans="2:15">
      <c r="B994" s="83"/>
      <c r="C994" s="84"/>
      <c r="D994" s="85"/>
      <c r="E994" s="85"/>
      <c r="F994" s="86"/>
      <c r="G994" s="86"/>
      <c r="H994" s="87"/>
      <c r="I994" s="86"/>
      <c r="J994" s="87"/>
      <c r="K994" s="86"/>
      <c r="L994" s="86"/>
      <c r="M994" s="87"/>
      <c r="N994" s="86"/>
      <c r="O994" s="87"/>
    </row>
    <row r="995" spans="2:15">
      <c r="B995" s="83"/>
      <c r="C995" s="84"/>
      <c r="D995" s="85"/>
      <c r="E995" s="85"/>
      <c r="F995" s="86"/>
      <c r="G995" s="86"/>
      <c r="H995" s="87"/>
      <c r="I995" s="86"/>
      <c r="J995" s="87"/>
      <c r="K995" s="86"/>
      <c r="L995" s="86"/>
      <c r="M995" s="87"/>
      <c r="N995" s="86"/>
      <c r="O995" s="87"/>
    </row>
    <row r="996" spans="2:15">
      <c r="B996" s="83"/>
      <c r="C996" s="84"/>
      <c r="D996" s="85"/>
      <c r="E996" s="85"/>
      <c r="F996" s="86"/>
      <c r="G996" s="86"/>
      <c r="H996" s="87"/>
      <c r="I996" s="86"/>
      <c r="J996" s="87"/>
      <c r="K996" s="86"/>
      <c r="L996" s="86"/>
      <c r="M996" s="87"/>
      <c r="N996" s="86"/>
      <c r="O996" s="87"/>
    </row>
    <row r="997" spans="2:15">
      <c r="B997" s="83"/>
      <c r="C997" s="84"/>
      <c r="D997" s="85"/>
      <c r="E997" s="85"/>
      <c r="F997" s="86"/>
      <c r="G997" s="86"/>
      <c r="H997" s="87"/>
      <c r="I997" s="86"/>
      <c r="J997" s="87"/>
      <c r="K997" s="86"/>
      <c r="L997" s="86"/>
      <c r="M997" s="87"/>
      <c r="N997" s="86"/>
      <c r="O997" s="87"/>
    </row>
    <row r="998" spans="2:15">
      <c r="B998" s="83"/>
      <c r="C998" s="84"/>
      <c r="D998" s="85"/>
      <c r="E998" s="85"/>
      <c r="F998" s="86"/>
      <c r="G998" s="86"/>
      <c r="H998" s="87"/>
      <c r="I998" s="86"/>
      <c r="J998" s="87"/>
      <c r="K998" s="86"/>
      <c r="L998" s="86"/>
      <c r="M998" s="87"/>
      <c r="N998" s="86"/>
      <c r="O998" s="87"/>
    </row>
    <row r="999" spans="2:15">
      <c r="B999" s="83"/>
      <c r="C999" s="84"/>
      <c r="D999" s="85"/>
      <c r="E999" s="85"/>
      <c r="F999" s="86"/>
      <c r="G999" s="86"/>
      <c r="H999" s="87"/>
      <c r="I999" s="86"/>
      <c r="J999" s="87"/>
      <c r="K999" s="86"/>
      <c r="L999" s="86"/>
      <c r="M999" s="87"/>
      <c r="N999" s="86"/>
      <c r="O999" s="87"/>
    </row>
    <row r="1000" spans="2:15">
      <c r="B1000" s="83"/>
      <c r="C1000" s="84"/>
      <c r="D1000" s="85"/>
      <c r="E1000" s="85"/>
      <c r="F1000" s="86"/>
      <c r="G1000" s="86"/>
      <c r="H1000" s="87"/>
      <c r="I1000" s="86"/>
      <c r="J1000" s="87"/>
      <c r="K1000" s="86"/>
      <c r="L1000" s="86"/>
      <c r="M1000" s="87"/>
      <c r="N1000" s="86"/>
      <c r="O1000" s="87"/>
    </row>
    <row r="1001" spans="2:15">
      <c r="B1001" s="83"/>
      <c r="C1001" s="84"/>
      <c r="D1001" s="85"/>
      <c r="E1001" s="85"/>
      <c r="F1001" s="86"/>
      <c r="G1001" s="86"/>
      <c r="H1001" s="87"/>
      <c r="I1001" s="86"/>
      <c r="J1001" s="87"/>
      <c r="K1001" s="86"/>
      <c r="L1001" s="86"/>
      <c r="M1001" s="87"/>
      <c r="N1001" s="86"/>
      <c r="O1001" s="87"/>
    </row>
    <row r="1002" spans="2:15">
      <c r="B1002" s="83"/>
      <c r="C1002" s="84"/>
      <c r="D1002" s="85"/>
      <c r="E1002" s="85"/>
      <c r="F1002" s="86"/>
      <c r="G1002" s="86"/>
      <c r="H1002" s="87"/>
      <c r="I1002" s="86"/>
      <c r="J1002" s="87"/>
      <c r="K1002" s="86"/>
      <c r="L1002" s="86"/>
      <c r="M1002" s="87"/>
      <c r="N1002" s="86"/>
      <c r="O1002" s="87"/>
    </row>
    <row r="1003" spans="2:15">
      <c r="B1003" s="83"/>
      <c r="C1003" s="84"/>
      <c r="D1003" s="85"/>
      <c r="E1003" s="85"/>
      <c r="F1003" s="86"/>
      <c r="G1003" s="86"/>
      <c r="H1003" s="87"/>
      <c r="I1003" s="86"/>
      <c r="J1003" s="87"/>
      <c r="K1003" s="86"/>
      <c r="L1003" s="86"/>
      <c r="M1003" s="87"/>
      <c r="N1003" s="86"/>
      <c r="O1003" s="87"/>
    </row>
    <row r="1004" spans="2:15">
      <c r="B1004" s="83"/>
      <c r="C1004" s="84"/>
      <c r="D1004" s="85"/>
      <c r="E1004" s="85"/>
      <c r="F1004" s="86"/>
      <c r="G1004" s="86"/>
      <c r="H1004" s="87"/>
      <c r="I1004" s="86"/>
      <c r="J1004" s="87"/>
      <c r="K1004" s="86"/>
      <c r="L1004" s="86"/>
      <c r="M1004" s="87"/>
      <c r="N1004" s="86"/>
      <c r="O1004" s="87"/>
    </row>
    <row r="1005" spans="2:15">
      <c r="B1005" s="83"/>
      <c r="C1005" s="84"/>
      <c r="D1005" s="85"/>
      <c r="E1005" s="85"/>
      <c r="F1005" s="86"/>
      <c r="G1005" s="86"/>
      <c r="H1005" s="87"/>
      <c r="I1005" s="86"/>
      <c r="J1005" s="87"/>
      <c r="K1005" s="86"/>
      <c r="L1005" s="86"/>
      <c r="M1005" s="87"/>
      <c r="N1005" s="86"/>
      <c r="O1005" s="87"/>
    </row>
    <row r="1006" spans="2:15">
      <c r="B1006" s="83"/>
      <c r="C1006" s="84"/>
      <c r="D1006" s="85"/>
      <c r="E1006" s="85"/>
      <c r="F1006" s="86"/>
      <c r="G1006" s="86"/>
      <c r="H1006" s="87"/>
      <c r="I1006" s="86"/>
      <c r="J1006" s="87"/>
      <c r="K1006" s="86"/>
      <c r="L1006" s="86"/>
      <c r="M1006" s="87"/>
      <c r="N1006" s="86"/>
      <c r="O1006" s="87"/>
    </row>
    <row r="1007" spans="2:15">
      <c r="B1007" s="83"/>
      <c r="C1007" s="84"/>
      <c r="D1007" s="85"/>
      <c r="E1007" s="85"/>
      <c r="F1007" s="86"/>
      <c r="G1007" s="86"/>
      <c r="H1007" s="87"/>
      <c r="I1007" s="86"/>
      <c r="J1007" s="87"/>
      <c r="K1007" s="86"/>
      <c r="L1007" s="86"/>
      <c r="M1007" s="87"/>
      <c r="N1007" s="86"/>
      <c r="O1007" s="87"/>
    </row>
    <row r="1008" spans="2:15">
      <c r="B1008" s="83"/>
      <c r="C1008" s="84"/>
      <c r="D1008" s="85"/>
      <c r="E1008" s="85"/>
      <c r="F1008" s="86"/>
      <c r="G1008" s="86"/>
      <c r="H1008" s="87"/>
      <c r="I1008" s="86"/>
      <c r="J1008" s="87"/>
      <c r="K1008" s="86"/>
      <c r="L1008" s="86"/>
      <c r="M1008" s="87"/>
      <c r="N1008" s="86"/>
      <c r="O1008" s="87"/>
    </row>
    <row r="1009" spans="2:15">
      <c r="B1009" s="83"/>
      <c r="C1009" s="84"/>
      <c r="D1009" s="85"/>
      <c r="E1009" s="85"/>
      <c r="F1009" s="86"/>
      <c r="G1009" s="86"/>
      <c r="H1009" s="87"/>
      <c r="I1009" s="86"/>
      <c r="J1009" s="87"/>
      <c r="K1009" s="86"/>
      <c r="L1009" s="86"/>
      <c r="M1009" s="87"/>
      <c r="N1009" s="86"/>
      <c r="O1009" s="87"/>
    </row>
    <row r="1010" spans="2:15">
      <c r="B1010" s="83"/>
      <c r="C1010" s="84"/>
      <c r="D1010" s="85"/>
      <c r="E1010" s="85"/>
      <c r="F1010" s="86"/>
      <c r="G1010" s="86"/>
      <c r="H1010" s="87"/>
      <c r="I1010" s="86"/>
      <c r="J1010" s="87"/>
      <c r="K1010" s="86"/>
      <c r="L1010" s="86"/>
      <c r="M1010" s="87"/>
      <c r="N1010" s="86"/>
      <c r="O1010" s="87"/>
    </row>
    <row r="1011" spans="2:15">
      <c r="B1011" s="83"/>
      <c r="C1011" s="84"/>
      <c r="D1011" s="85"/>
      <c r="E1011" s="85"/>
      <c r="F1011" s="86"/>
      <c r="G1011" s="86"/>
      <c r="H1011" s="87"/>
      <c r="I1011" s="86"/>
      <c r="J1011" s="87"/>
      <c r="K1011" s="86"/>
      <c r="L1011" s="86"/>
      <c r="M1011" s="87"/>
      <c r="N1011" s="86"/>
      <c r="O1011" s="87"/>
    </row>
    <row r="1012" spans="2:15">
      <c r="B1012" s="83"/>
      <c r="C1012" s="84"/>
      <c r="D1012" s="85"/>
      <c r="E1012" s="85"/>
      <c r="F1012" s="86"/>
      <c r="G1012" s="86"/>
      <c r="H1012" s="87"/>
      <c r="I1012" s="86"/>
      <c r="J1012" s="87"/>
      <c r="K1012" s="86"/>
      <c r="L1012" s="86"/>
      <c r="M1012" s="87"/>
      <c r="N1012" s="86"/>
      <c r="O1012" s="87"/>
    </row>
    <row r="1013" spans="2:15">
      <c r="B1013" s="83"/>
      <c r="C1013" s="84"/>
      <c r="D1013" s="85"/>
      <c r="E1013" s="85"/>
      <c r="F1013" s="86"/>
      <c r="G1013" s="86"/>
      <c r="H1013" s="87"/>
      <c r="I1013" s="86"/>
      <c r="J1013" s="87"/>
      <c r="K1013" s="86"/>
      <c r="L1013" s="86"/>
      <c r="M1013" s="87"/>
      <c r="N1013" s="86"/>
      <c r="O1013" s="87"/>
    </row>
    <row r="1014" spans="2:15">
      <c r="B1014" s="83"/>
      <c r="C1014" s="84"/>
      <c r="D1014" s="85"/>
      <c r="E1014" s="85"/>
      <c r="F1014" s="86"/>
      <c r="G1014" s="86"/>
      <c r="H1014" s="87"/>
      <c r="I1014" s="86"/>
      <c r="J1014" s="87"/>
      <c r="K1014" s="86"/>
      <c r="L1014" s="86"/>
      <c r="M1014" s="87"/>
      <c r="N1014" s="86"/>
      <c r="O1014" s="87"/>
    </row>
    <row r="1015" spans="2:15">
      <c r="B1015" s="83"/>
      <c r="C1015" s="84"/>
      <c r="D1015" s="85"/>
      <c r="E1015" s="85"/>
      <c r="F1015" s="86"/>
      <c r="G1015" s="86"/>
      <c r="H1015" s="87"/>
      <c r="I1015" s="86"/>
      <c r="J1015" s="87"/>
      <c r="K1015" s="86"/>
      <c r="L1015" s="86"/>
      <c r="M1015" s="87"/>
      <c r="N1015" s="86"/>
      <c r="O1015" s="87"/>
    </row>
    <row r="1016" spans="2:15">
      <c r="B1016" s="83"/>
      <c r="C1016" s="84"/>
      <c r="D1016" s="85"/>
      <c r="E1016" s="85"/>
      <c r="F1016" s="86"/>
      <c r="G1016" s="86"/>
      <c r="H1016" s="87"/>
      <c r="I1016" s="86"/>
      <c r="J1016" s="87"/>
      <c r="K1016" s="86"/>
      <c r="L1016" s="86"/>
      <c r="M1016" s="87"/>
      <c r="N1016" s="86"/>
      <c r="O1016" s="87"/>
    </row>
    <row r="1017" spans="2:15">
      <c r="B1017" s="83"/>
      <c r="C1017" s="84"/>
      <c r="D1017" s="85"/>
      <c r="E1017" s="85"/>
      <c r="F1017" s="86"/>
      <c r="G1017" s="86"/>
      <c r="H1017" s="87"/>
      <c r="I1017" s="86"/>
      <c r="J1017" s="87"/>
      <c r="K1017" s="86"/>
      <c r="L1017" s="86"/>
      <c r="M1017" s="87"/>
      <c r="N1017" s="86"/>
      <c r="O1017" s="87"/>
    </row>
    <row r="1018" spans="2:15">
      <c r="B1018" s="83"/>
      <c r="C1018" s="84"/>
      <c r="D1018" s="85"/>
      <c r="E1018" s="85"/>
      <c r="F1018" s="86"/>
      <c r="G1018" s="86"/>
      <c r="H1018" s="87"/>
      <c r="I1018" s="86"/>
      <c r="J1018" s="87"/>
      <c r="K1018" s="86"/>
      <c r="L1018" s="86"/>
      <c r="M1018" s="87"/>
      <c r="N1018" s="86"/>
      <c r="O1018" s="87"/>
    </row>
    <row r="1019" spans="2:15">
      <c r="B1019" s="83"/>
      <c r="C1019" s="84"/>
      <c r="D1019" s="85"/>
      <c r="E1019" s="85"/>
      <c r="F1019" s="86"/>
      <c r="G1019" s="86"/>
      <c r="H1019" s="87"/>
      <c r="I1019" s="86"/>
      <c r="J1019" s="87"/>
      <c r="K1019" s="86"/>
      <c r="L1019" s="86"/>
      <c r="M1019" s="87"/>
      <c r="N1019" s="86"/>
      <c r="O1019" s="87"/>
    </row>
    <row r="1020" spans="2:15">
      <c r="B1020" s="83"/>
      <c r="C1020" s="84"/>
      <c r="D1020" s="85"/>
      <c r="E1020" s="85"/>
      <c r="F1020" s="86"/>
      <c r="G1020" s="86"/>
      <c r="H1020" s="87"/>
      <c r="I1020" s="86"/>
      <c r="J1020" s="87"/>
      <c r="K1020" s="86"/>
      <c r="L1020" s="86"/>
      <c r="M1020" s="87"/>
      <c r="N1020" s="86"/>
      <c r="O1020" s="87"/>
    </row>
    <row r="1021" spans="2:15">
      <c r="B1021" s="83"/>
      <c r="C1021" s="84"/>
      <c r="D1021" s="85"/>
      <c r="E1021" s="85"/>
      <c r="F1021" s="86"/>
      <c r="G1021" s="86"/>
      <c r="H1021" s="87"/>
      <c r="I1021" s="86"/>
      <c r="J1021" s="87"/>
      <c r="K1021" s="86"/>
      <c r="L1021" s="86"/>
      <c r="M1021" s="87"/>
      <c r="N1021" s="86"/>
      <c r="O1021" s="87"/>
    </row>
    <row r="1022" spans="2:15">
      <c r="B1022" s="83"/>
      <c r="C1022" s="84"/>
      <c r="D1022" s="85"/>
      <c r="E1022" s="85"/>
      <c r="F1022" s="86"/>
      <c r="G1022" s="86"/>
      <c r="H1022" s="87"/>
      <c r="I1022" s="86"/>
      <c r="J1022" s="87"/>
      <c r="K1022" s="86"/>
      <c r="L1022" s="86"/>
      <c r="M1022" s="87"/>
      <c r="N1022" s="86"/>
      <c r="O1022" s="87"/>
    </row>
    <row r="1023" spans="2:15">
      <c r="B1023" s="83"/>
      <c r="C1023" s="84"/>
      <c r="D1023" s="85"/>
      <c r="E1023" s="85"/>
      <c r="F1023" s="86"/>
      <c r="G1023" s="86"/>
      <c r="H1023" s="87"/>
      <c r="I1023" s="86"/>
      <c r="J1023" s="87"/>
      <c r="K1023" s="86"/>
      <c r="L1023" s="86"/>
      <c r="M1023" s="87"/>
      <c r="N1023" s="86"/>
      <c r="O1023" s="87"/>
    </row>
    <row r="1024" spans="2:15">
      <c r="B1024" s="83"/>
      <c r="C1024" s="84"/>
      <c r="D1024" s="85"/>
      <c r="E1024" s="85"/>
      <c r="F1024" s="86"/>
      <c r="G1024" s="86"/>
      <c r="H1024" s="87"/>
      <c r="I1024" s="86"/>
      <c r="J1024" s="87"/>
      <c r="K1024" s="86"/>
      <c r="L1024" s="86"/>
      <c r="M1024" s="87"/>
      <c r="N1024" s="86"/>
      <c r="O1024" s="87"/>
    </row>
    <row r="1025" spans="2:15">
      <c r="B1025" s="83"/>
      <c r="C1025" s="84"/>
      <c r="D1025" s="85"/>
      <c r="E1025" s="85"/>
      <c r="F1025" s="86"/>
      <c r="G1025" s="86"/>
      <c r="H1025" s="87"/>
      <c r="I1025" s="86"/>
      <c r="J1025" s="87"/>
      <c r="K1025" s="86"/>
      <c r="L1025" s="86"/>
      <c r="M1025" s="87"/>
      <c r="N1025" s="86"/>
      <c r="O1025" s="87"/>
    </row>
    <row r="1026" spans="2:15">
      <c r="B1026" s="83"/>
      <c r="C1026" s="84"/>
      <c r="D1026" s="85"/>
      <c r="E1026" s="85"/>
      <c r="F1026" s="86"/>
      <c r="G1026" s="86"/>
      <c r="H1026" s="87"/>
      <c r="I1026" s="86"/>
      <c r="J1026" s="87"/>
      <c r="K1026" s="86"/>
      <c r="L1026" s="86"/>
      <c r="M1026" s="87"/>
      <c r="N1026" s="86"/>
      <c r="O1026" s="87"/>
    </row>
    <row r="1027" spans="2:15">
      <c r="B1027" s="83"/>
      <c r="C1027" s="84"/>
      <c r="D1027" s="85"/>
      <c r="E1027" s="85"/>
      <c r="F1027" s="86"/>
      <c r="G1027" s="86"/>
      <c r="H1027" s="87"/>
      <c r="I1027" s="86"/>
      <c r="J1027" s="87"/>
      <c r="K1027" s="86"/>
      <c r="L1027" s="86"/>
      <c r="M1027" s="87"/>
      <c r="N1027" s="86"/>
      <c r="O1027" s="87"/>
    </row>
    <row r="1028" spans="2:15">
      <c r="B1028" s="83"/>
      <c r="C1028" s="84"/>
      <c r="D1028" s="85"/>
      <c r="E1028" s="85"/>
      <c r="F1028" s="86"/>
      <c r="G1028" s="86"/>
      <c r="H1028" s="87"/>
      <c r="I1028" s="86"/>
      <c r="J1028" s="87"/>
      <c r="K1028" s="86"/>
      <c r="L1028" s="86"/>
      <c r="M1028" s="87"/>
      <c r="N1028" s="86"/>
      <c r="O1028" s="87"/>
    </row>
    <row r="1029" spans="2:15">
      <c r="B1029" s="83"/>
      <c r="C1029" s="84"/>
      <c r="D1029" s="85"/>
      <c r="E1029" s="85"/>
      <c r="F1029" s="86"/>
      <c r="G1029" s="86"/>
      <c r="H1029" s="87"/>
      <c r="I1029" s="86"/>
      <c r="J1029" s="87"/>
      <c r="K1029" s="86"/>
      <c r="L1029" s="86"/>
      <c r="M1029" s="87"/>
      <c r="N1029" s="86"/>
      <c r="O1029" s="87"/>
    </row>
    <row r="1030" spans="2:15">
      <c r="B1030" s="83"/>
      <c r="C1030" s="84"/>
      <c r="D1030" s="85"/>
      <c r="E1030" s="85"/>
      <c r="F1030" s="86"/>
      <c r="G1030" s="86"/>
      <c r="H1030" s="87"/>
      <c r="I1030" s="86"/>
      <c r="J1030" s="87"/>
      <c r="K1030" s="86"/>
      <c r="L1030" s="86"/>
      <c r="M1030" s="87"/>
      <c r="N1030" s="86"/>
      <c r="O1030" s="87"/>
    </row>
    <row r="1031" spans="2:15">
      <c r="B1031" s="83"/>
      <c r="C1031" s="84"/>
      <c r="D1031" s="85"/>
      <c r="E1031" s="85"/>
      <c r="F1031" s="86"/>
      <c r="G1031" s="86"/>
      <c r="H1031" s="87"/>
      <c r="I1031" s="86"/>
      <c r="J1031" s="87"/>
      <c r="K1031" s="86"/>
      <c r="L1031" s="86"/>
      <c r="M1031" s="87"/>
      <c r="N1031" s="86"/>
      <c r="O1031" s="87"/>
    </row>
    <row r="1032" spans="2:15">
      <c r="B1032" s="83"/>
      <c r="C1032" s="84"/>
      <c r="D1032" s="85"/>
      <c r="E1032" s="85"/>
      <c r="F1032" s="86"/>
      <c r="G1032" s="86"/>
      <c r="H1032" s="87"/>
      <c r="I1032" s="86"/>
      <c r="J1032" s="87"/>
      <c r="K1032" s="86"/>
      <c r="L1032" s="86"/>
      <c r="M1032" s="87"/>
      <c r="N1032" s="86"/>
      <c r="O1032" s="87"/>
    </row>
    <row r="1033" spans="2:15">
      <c r="B1033" s="83"/>
      <c r="C1033" s="84"/>
      <c r="D1033" s="85"/>
      <c r="E1033" s="85"/>
      <c r="F1033" s="86"/>
      <c r="G1033" s="86"/>
      <c r="H1033" s="87"/>
      <c r="I1033" s="86"/>
      <c r="J1033" s="87"/>
      <c r="K1033" s="86"/>
      <c r="L1033" s="86"/>
      <c r="M1033" s="87"/>
      <c r="N1033" s="86"/>
      <c r="O1033" s="87"/>
    </row>
    <row r="1034" spans="2:15">
      <c r="B1034" s="83"/>
      <c r="C1034" s="84"/>
      <c r="D1034" s="85"/>
      <c r="E1034" s="85"/>
      <c r="F1034" s="86"/>
      <c r="G1034" s="86"/>
      <c r="H1034" s="87"/>
      <c r="I1034" s="86"/>
      <c r="J1034" s="87"/>
      <c r="K1034" s="86"/>
      <c r="L1034" s="86"/>
      <c r="M1034" s="87"/>
      <c r="N1034" s="86"/>
      <c r="O1034" s="87"/>
    </row>
    <row r="1035" spans="2:15">
      <c r="B1035" s="83"/>
      <c r="C1035" s="84"/>
      <c r="D1035" s="85"/>
      <c r="E1035" s="85"/>
      <c r="F1035" s="86"/>
      <c r="G1035" s="86"/>
      <c r="H1035" s="87"/>
      <c r="I1035" s="86"/>
      <c r="J1035" s="87"/>
      <c r="K1035" s="86"/>
      <c r="L1035" s="86"/>
      <c r="M1035" s="87"/>
      <c r="N1035" s="86"/>
      <c r="O1035" s="87"/>
    </row>
    <row r="1036" spans="2:15">
      <c r="B1036" s="83"/>
      <c r="C1036" s="84"/>
      <c r="D1036" s="85"/>
      <c r="E1036" s="85"/>
      <c r="F1036" s="86"/>
      <c r="G1036" s="86"/>
      <c r="H1036" s="87"/>
      <c r="I1036" s="86"/>
      <c r="J1036" s="87"/>
      <c r="K1036" s="86"/>
      <c r="L1036" s="86"/>
      <c r="M1036" s="87"/>
      <c r="N1036" s="86"/>
      <c r="O1036" s="87"/>
    </row>
    <row r="1037" spans="2:15">
      <c r="B1037" s="83"/>
      <c r="C1037" s="84"/>
      <c r="D1037" s="85"/>
      <c r="E1037" s="85"/>
      <c r="F1037" s="86"/>
      <c r="G1037" s="86"/>
      <c r="H1037" s="87"/>
      <c r="I1037" s="86"/>
      <c r="J1037" s="87"/>
      <c r="K1037" s="86"/>
      <c r="L1037" s="86"/>
      <c r="M1037" s="87"/>
      <c r="N1037" s="86"/>
      <c r="O1037" s="87"/>
    </row>
    <row r="1038" spans="2:15">
      <c r="B1038" s="83"/>
      <c r="C1038" s="84"/>
      <c r="D1038" s="85"/>
      <c r="E1038" s="85"/>
      <c r="F1038" s="86"/>
      <c r="G1038" s="86"/>
      <c r="H1038" s="87"/>
      <c r="I1038" s="86"/>
      <c r="J1038" s="87"/>
      <c r="K1038" s="86"/>
      <c r="L1038" s="86"/>
      <c r="M1038" s="87"/>
      <c r="N1038" s="86"/>
      <c r="O1038" s="87"/>
    </row>
    <row r="1039" spans="2:15">
      <c r="B1039" s="83"/>
      <c r="C1039" s="84"/>
      <c r="D1039" s="85"/>
      <c r="E1039" s="85"/>
      <c r="F1039" s="86"/>
      <c r="G1039" s="86"/>
      <c r="H1039" s="87"/>
      <c r="I1039" s="86"/>
      <c r="J1039" s="87"/>
      <c r="K1039" s="86"/>
      <c r="L1039" s="86"/>
      <c r="M1039" s="87"/>
      <c r="N1039" s="86"/>
      <c r="O1039" s="87"/>
    </row>
    <row r="1040" spans="2:15">
      <c r="B1040" s="83"/>
      <c r="C1040" s="84"/>
      <c r="D1040" s="85"/>
      <c r="E1040" s="85"/>
      <c r="F1040" s="86"/>
      <c r="G1040" s="86"/>
      <c r="H1040" s="87"/>
      <c r="I1040" s="86"/>
      <c r="J1040" s="87"/>
      <c r="K1040" s="86"/>
      <c r="L1040" s="86"/>
      <c r="M1040" s="87"/>
      <c r="N1040" s="86"/>
      <c r="O1040" s="87"/>
    </row>
    <row r="1041" spans="2:15">
      <c r="B1041" s="83"/>
      <c r="C1041" s="84"/>
      <c r="D1041" s="85"/>
      <c r="E1041" s="85"/>
      <c r="F1041" s="86"/>
      <c r="G1041" s="86"/>
      <c r="H1041" s="87"/>
      <c r="I1041" s="86"/>
      <c r="J1041" s="87"/>
      <c r="K1041" s="86"/>
      <c r="L1041" s="86"/>
      <c r="M1041" s="87"/>
      <c r="N1041" s="86"/>
      <c r="O1041" s="87"/>
    </row>
    <row r="1042" spans="2:15">
      <c r="B1042" s="83"/>
      <c r="C1042" s="84"/>
      <c r="D1042" s="85"/>
      <c r="E1042" s="85"/>
      <c r="F1042" s="86"/>
      <c r="G1042" s="86"/>
      <c r="H1042" s="87"/>
      <c r="I1042" s="86"/>
      <c r="J1042" s="87"/>
      <c r="K1042" s="86"/>
      <c r="L1042" s="86"/>
      <c r="M1042" s="87"/>
      <c r="N1042" s="86"/>
      <c r="O1042" s="87"/>
    </row>
    <row r="1043" spans="2:15">
      <c r="B1043" s="83"/>
      <c r="C1043" s="84"/>
      <c r="D1043" s="85"/>
      <c r="E1043" s="85"/>
      <c r="F1043" s="86"/>
      <c r="G1043" s="86"/>
      <c r="H1043" s="87"/>
      <c r="I1043" s="86"/>
      <c r="J1043" s="87"/>
      <c r="K1043" s="86"/>
      <c r="L1043" s="86"/>
      <c r="M1043" s="87"/>
      <c r="N1043" s="86"/>
      <c r="O1043" s="87"/>
    </row>
    <row r="1044" spans="2:15">
      <c r="B1044" s="83"/>
      <c r="C1044" s="84"/>
      <c r="D1044" s="85"/>
      <c r="E1044" s="85"/>
      <c r="F1044" s="86"/>
      <c r="G1044" s="86"/>
      <c r="H1044" s="87"/>
      <c r="I1044" s="86"/>
      <c r="J1044" s="87"/>
      <c r="K1044" s="86"/>
      <c r="L1044" s="86"/>
      <c r="M1044" s="87"/>
      <c r="N1044" s="86"/>
      <c r="O1044" s="87"/>
    </row>
    <row r="1045" spans="2:15">
      <c r="B1045" s="83"/>
      <c r="C1045" s="84"/>
      <c r="D1045" s="85"/>
      <c r="E1045" s="85"/>
      <c r="F1045" s="86"/>
      <c r="G1045" s="86"/>
      <c r="H1045" s="87"/>
      <c r="I1045" s="86"/>
      <c r="J1045" s="87"/>
      <c r="K1045" s="86"/>
      <c r="L1045" s="86"/>
      <c r="M1045" s="87"/>
      <c r="N1045" s="86"/>
      <c r="O1045" s="87"/>
    </row>
    <row r="1046" spans="2:15">
      <c r="B1046" s="83"/>
      <c r="C1046" s="84"/>
      <c r="D1046" s="85"/>
      <c r="E1046" s="85"/>
      <c r="F1046" s="86"/>
      <c r="G1046" s="86"/>
      <c r="H1046" s="87"/>
      <c r="I1046" s="86"/>
      <c r="J1046" s="87"/>
      <c r="K1046" s="86"/>
      <c r="L1046" s="86"/>
      <c r="M1046" s="87"/>
      <c r="N1046" s="86"/>
      <c r="O1046" s="87"/>
    </row>
    <row r="1047" spans="2:15">
      <c r="B1047" s="83"/>
      <c r="C1047" s="84"/>
      <c r="D1047" s="85"/>
      <c r="E1047" s="85"/>
      <c r="F1047" s="86"/>
      <c r="G1047" s="86"/>
      <c r="H1047" s="87"/>
      <c r="I1047" s="86"/>
      <c r="J1047" s="87"/>
      <c r="K1047" s="86"/>
      <c r="L1047" s="86"/>
      <c r="M1047" s="87"/>
      <c r="N1047" s="86"/>
      <c r="O1047" s="87"/>
    </row>
    <row r="1048" spans="2:15">
      <c r="B1048" s="83"/>
      <c r="C1048" s="84"/>
      <c r="D1048" s="85"/>
      <c r="E1048" s="85"/>
      <c r="F1048" s="86"/>
      <c r="G1048" s="86"/>
      <c r="H1048" s="87"/>
      <c r="I1048" s="86"/>
      <c r="J1048" s="87"/>
      <c r="K1048" s="86"/>
      <c r="L1048" s="86"/>
      <c r="M1048" s="87"/>
      <c r="N1048" s="86"/>
      <c r="O1048" s="87"/>
    </row>
    <row r="1049" spans="2:15">
      <c r="B1049" s="83"/>
      <c r="C1049" s="84"/>
      <c r="D1049" s="85"/>
      <c r="E1049" s="85"/>
      <c r="F1049" s="86"/>
      <c r="G1049" s="86"/>
      <c r="H1049" s="87"/>
      <c r="I1049" s="86"/>
      <c r="J1049" s="87"/>
      <c r="K1049" s="86"/>
      <c r="L1049" s="86"/>
      <c r="M1049" s="87"/>
      <c r="N1049" s="86"/>
      <c r="O1049" s="87"/>
    </row>
    <row r="1050" spans="2:15">
      <c r="B1050" s="83"/>
      <c r="C1050" s="84"/>
      <c r="D1050" s="85"/>
      <c r="E1050" s="85"/>
      <c r="F1050" s="86"/>
      <c r="G1050" s="86"/>
      <c r="H1050" s="87"/>
      <c r="I1050" s="86"/>
      <c r="J1050" s="87"/>
      <c r="K1050" s="86"/>
      <c r="L1050" s="86"/>
      <c r="M1050" s="87"/>
      <c r="N1050" s="86"/>
      <c r="O1050" s="87"/>
    </row>
    <row r="1051" spans="2:15">
      <c r="B1051" s="83"/>
      <c r="C1051" s="84"/>
      <c r="D1051" s="85"/>
      <c r="E1051" s="85"/>
      <c r="F1051" s="86"/>
      <c r="G1051" s="86"/>
      <c r="H1051" s="87"/>
      <c r="I1051" s="86"/>
      <c r="J1051" s="87"/>
      <c r="K1051" s="86"/>
      <c r="L1051" s="86"/>
      <c r="M1051" s="87"/>
      <c r="N1051" s="86"/>
      <c r="O1051" s="87"/>
    </row>
    <row r="1052" spans="2:15">
      <c r="B1052" s="83"/>
      <c r="C1052" s="84"/>
      <c r="D1052" s="85"/>
      <c r="E1052" s="85"/>
      <c r="F1052" s="86"/>
      <c r="G1052" s="86"/>
      <c r="H1052" s="87"/>
      <c r="I1052" s="86"/>
      <c r="J1052" s="87"/>
      <c r="K1052" s="86"/>
      <c r="L1052" s="86"/>
      <c r="M1052" s="87"/>
      <c r="N1052" s="86"/>
      <c r="O1052" s="87"/>
    </row>
    <row r="1053" spans="2:15">
      <c r="B1053" s="83"/>
      <c r="C1053" s="84"/>
      <c r="D1053" s="85"/>
      <c r="E1053" s="85"/>
      <c r="F1053" s="86"/>
      <c r="G1053" s="86"/>
      <c r="H1053" s="87"/>
      <c r="I1053" s="86"/>
      <c r="J1053" s="87"/>
      <c r="K1053" s="86"/>
      <c r="L1053" s="86"/>
      <c r="M1053" s="87"/>
      <c r="N1053" s="86"/>
      <c r="O1053" s="87"/>
    </row>
    <row r="1054" spans="2:15">
      <c r="B1054" s="83"/>
      <c r="C1054" s="84"/>
      <c r="D1054" s="85"/>
      <c r="E1054" s="85"/>
      <c r="F1054" s="86"/>
      <c r="G1054" s="86"/>
      <c r="H1054" s="87"/>
      <c r="I1054" s="86"/>
      <c r="J1054" s="87"/>
      <c r="K1054" s="86"/>
      <c r="L1054" s="86"/>
      <c r="M1054" s="87"/>
      <c r="N1054" s="86"/>
      <c r="O1054" s="87"/>
    </row>
    <row r="1055" spans="2:15">
      <c r="B1055" s="83"/>
      <c r="C1055" s="84"/>
      <c r="D1055" s="85"/>
      <c r="E1055" s="85"/>
      <c r="F1055" s="86"/>
      <c r="G1055" s="86"/>
      <c r="H1055" s="87"/>
      <c r="I1055" s="86"/>
      <c r="J1055" s="87"/>
      <c r="K1055" s="86"/>
      <c r="L1055" s="86"/>
      <c r="M1055" s="87"/>
      <c r="N1055" s="86"/>
      <c r="O1055" s="87"/>
    </row>
    <row r="1056" spans="2:15">
      <c r="B1056" s="83"/>
      <c r="C1056" s="84"/>
      <c r="D1056" s="85"/>
      <c r="E1056" s="85"/>
      <c r="F1056" s="86"/>
      <c r="G1056" s="86"/>
      <c r="H1056" s="87"/>
      <c r="I1056" s="86"/>
      <c r="J1056" s="87"/>
      <c r="K1056" s="86"/>
      <c r="L1056" s="86"/>
      <c r="M1056" s="87"/>
      <c r="N1056" s="86"/>
      <c r="O1056" s="87"/>
    </row>
    <row r="1057" spans="2:15">
      <c r="B1057" s="83"/>
      <c r="C1057" s="84"/>
      <c r="D1057" s="85"/>
      <c r="E1057" s="85"/>
      <c r="F1057" s="86"/>
      <c r="G1057" s="86"/>
      <c r="H1057" s="87"/>
      <c r="I1057" s="86"/>
      <c r="J1057" s="87"/>
      <c r="K1057" s="86"/>
      <c r="L1057" s="86"/>
      <c r="M1057" s="87"/>
      <c r="N1057" s="86"/>
      <c r="O1057" s="87"/>
    </row>
    <row r="1058" spans="2:15">
      <c r="B1058" s="83"/>
      <c r="C1058" s="84"/>
      <c r="D1058" s="85"/>
      <c r="E1058" s="85"/>
      <c r="F1058" s="86"/>
      <c r="G1058" s="86"/>
      <c r="H1058" s="87"/>
      <c r="I1058" s="86"/>
      <c r="J1058" s="87"/>
      <c r="K1058" s="86"/>
      <c r="L1058" s="86"/>
      <c r="M1058" s="87"/>
      <c r="N1058" s="86"/>
      <c r="O1058" s="87"/>
    </row>
    <row r="1059" spans="2:15">
      <c r="B1059" s="83"/>
      <c r="C1059" s="84"/>
      <c r="D1059" s="85"/>
      <c r="E1059" s="85"/>
      <c r="F1059" s="86"/>
      <c r="G1059" s="86"/>
      <c r="H1059" s="87"/>
      <c r="I1059" s="86"/>
      <c r="J1059" s="87"/>
      <c r="K1059" s="86"/>
      <c r="L1059" s="86"/>
      <c r="M1059" s="87"/>
      <c r="N1059" s="86"/>
      <c r="O1059" s="87"/>
    </row>
    <row r="1060" spans="2:15">
      <c r="B1060" s="83"/>
      <c r="C1060" s="84"/>
      <c r="D1060" s="85"/>
      <c r="E1060" s="85"/>
      <c r="F1060" s="86"/>
      <c r="G1060" s="86"/>
      <c r="H1060" s="87"/>
      <c r="I1060" s="86"/>
      <c r="J1060" s="87"/>
      <c r="K1060" s="86"/>
      <c r="L1060" s="86"/>
      <c r="M1060" s="87"/>
      <c r="N1060" s="86"/>
      <c r="O1060" s="87"/>
    </row>
    <row r="1061" spans="2:15">
      <c r="B1061" s="83"/>
      <c r="C1061" s="84"/>
      <c r="D1061" s="85"/>
      <c r="E1061" s="85"/>
      <c r="F1061" s="86"/>
      <c r="G1061" s="86"/>
      <c r="H1061" s="87"/>
      <c r="I1061" s="86"/>
      <c r="J1061" s="87"/>
      <c r="K1061" s="86"/>
      <c r="L1061" s="86"/>
      <c r="M1061" s="87"/>
      <c r="N1061" s="86"/>
      <c r="O1061" s="87"/>
    </row>
    <row r="1062" spans="2:15">
      <c r="B1062" s="83"/>
      <c r="C1062" s="84"/>
      <c r="D1062" s="85"/>
      <c r="E1062" s="85"/>
      <c r="F1062" s="86"/>
      <c r="G1062" s="86"/>
      <c r="H1062" s="87"/>
      <c r="I1062" s="86"/>
      <c r="J1062" s="87"/>
      <c r="K1062" s="86"/>
      <c r="L1062" s="86"/>
      <c r="M1062" s="87"/>
      <c r="N1062" s="86"/>
      <c r="O1062" s="87"/>
    </row>
    <row r="1063" spans="2:15">
      <c r="B1063" s="83"/>
      <c r="C1063" s="84"/>
      <c r="D1063" s="85"/>
      <c r="E1063" s="85"/>
      <c r="F1063" s="86"/>
      <c r="G1063" s="86"/>
      <c r="H1063" s="87"/>
      <c r="I1063" s="86"/>
      <c r="J1063" s="87"/>
      <c r="K1063" s="86"/>
      <c r="L1063" s="86"/>
      <c r="M1063" s="87"/>
      <c r="N1063" s="86"/>
      <c r="O1063" s="87"/>
    </row>
    <row r="1064" spans="2:15">
      <c r="B1064" s="83"/>
      <c r="C1064" s="84"/>
      <c r="D1064" s="85"/>
      <c r="E1064" s="85"/>
      <c r="F1064" s="86"/>
      <c r="G1064" s="86"/>
      <c r="H1064" s="87"/>
      <c r="I1064" s="86"/>
      <c r="J1064" s="87"/>
      <c r="K1064" s="86"/>
      <c r="L1064" s="86"/>
      <c r="M1064" s="87"/>
      <c r="N1064" s="86"/>
      <c r="O1064" s="87"/>
    </row>
    <row r="1065" spans="2:15">
      <c r="B1065" s="83"/>
      <c r="C1065" s="84"/>
      <c r="D1065" s="85"/>
      <c r="E1065" s="85"/>
      <c r="F1065" s="86"/>
      <c r="G1065" s="86"/>
      <c r="H1065" s="87"/>
      <c r="I1065" s="86"/>
      <c r="J1065" s="87"/>
      <c r="K1065" s="86"/>
      <c r="L1065" s="86"/>
      <c r="M1065" s="87"/>
      <c r="N1065" s="86"/>
      <c r="O1065" s="87"/>
    </row>
    <row r="1066" spans="2:15">
      <c r="B1066" s="83"/>
      <c r="C1066" s="84"/>
      <c r="D1066" s="85"/>
      <c r="E1066" s="85"/>
      <c r="F1066" s="86"/>
      <c r="G1066" s="86"/>
      <c r="H1066" s="87"/>
      <c r="I1066" s="86"/>
      <c r="J1066" s="87"/>
      <c r="K1066" s="86"/>
      <c r="L1066" s="86"/>
      <c r="M1066" s="87"/>
      <c r="N1066" s="86"/>
      <c r="O1066" s="87"/>
    </row>
    <row r="1067" spans="2:15">
      <c r="B1067" s="83"/>
      <c r="C1067" s="84"/>
      <c r="D1067" s="85"/>
      <c r="E1067" s="85"/>
      <c r="F1067" s="86"/>
      <c r="G1067" s="86"/>
      <c r="H1067" s="87"/>
      <c r="I1067" s="86"/>
      <c r="J1067" s="87"/>
      <c r="K1067" s="86"/>
      <c r="L1067" s="86"/>
      <c r="M1067" s="87"/>
      <c r="N1067" s="86"/>
      <c r="O1067" s="87"/>
    </row>
    <row r="1068" spans="2:15">
      <c r="B1068" s="83"/>
      <c r="C1068" s="84"/>
      <c r="D1068" s="85"/>
      <c r="E1068" s="85"/>
      <c r="F1068" s="86"/>
      <c r="G1068" s="86"/>
      <c r="H1068" s="87"/>
      <c r="I1068" s="86"/>
      <c r="J1068" s="87"/>
      <c r="K1068" s="86"/>
      <c r="L1068" s="86"/>
      <c r="M1068" s="87"/>
      <c r="N1068" s="86"/>
      <c r="O1068" s="87"/>
    </row>
    <row r="1069" spans="2:15">
      <c r="B1069" s="83"/>
      <c r="C1069" s="84"/>
      <c r="D1069" s="85"/>
      <c r="E1069" s="85"/>
      <c r="F1069" s="86"/>
      <c r="G1069" s="86"/>
      <c r="H1069" s="87"/>
      <c r="I1069" s="86"/>
      <c r="J1069" s="87"/>
      <c r="K1069" s="86"/>
      <c r="L1069" s="86"/>
      <c r="M1069" s="87"/>
      <c r="N1069" s="86"/>
      <c r="O1069" s="87"/>
    </row>
    <row r="1070" spans="2:15">
      <c r="B1070" s="83"/>
      <c r="C1070" s="84"/>
      <c r="D1070" s="85"/>
      <c r="E1070" s="85"/>
      <c r="F1070" s="86"/>
      <c r="G1070" s="86"/>
      <c r="H1070" s="87"/>
      <c r="I1070" s="86"/>
      <c r="J1070" s="87"/>
      <c r="K1070" s="86"/>
      <c r="L1070" s="86"/>
      <c r="M1070" s="87"/>
      <c r="N1070" s="86"/>
      <c r="O1070" s="87"/>
    </row>
    <row r="1071" spans="2:15">
      <c r="B1071" s="83"/>
      <c r="C1071" s="84"/>
      <c r="D1071" s="85"/>
      <c r="E1071" s="85"/>
      <c r="F1071" s="86"/>
      <c r="G1071" s="86"/>
      <c r="H1071" s="87"/>
      <c r="I1071" s="86"/>
      <c r="J1071" s="87"/>
      <c r="K1071" s="86"/>
      <c r="L1071" s="86"/>
      <c r="M1071" s="87"/>
      <c r="N1071" s="86"/>
      <c r="O1071" s="87"/>
    </row>
    <row r="1072" spans="2:15">
      <c r="B1072" s="83"/>
      <c r="C1072" s="84"/>
      <c r="D1072" s="85"/>
      <c r="E1072" s="85"/>
      <c r="F1072" s="86"/>
      <c r="G1072" s="86"/>
      <c r="H1072" s="87"/>
      <c r="I1072" s="86"/>
      <c r="J1072" s="87"/>
      <c r="K1072" s="86"/>
      <c r="L1072" s="86"/>
      <c r="M1072" s="87"/>
      <c r="N1072" s="86"/>
      <c r="O1072" s="87"/>
    </row>
    <row r="1073" spans="2:15">
      <c r="B1073" s="83"/>
      <c r="C1073" s="84"/>
      <c r="D1073" s="85"/>
      <c r="E1073" s="85"/>
      <c r="F1073" s="86"/>
      <c r="G1073" s="86"/>
      <c r="H1073" s="87"/>
      <c r="I1073" s="86"/>
      <c r="J1073" s="87"/>
      <c r="K1073" s="86"/>
      <c r="L1073" s="86"/>
      <c r="M1073" s="87"/>
      <c r="N1073" s="86"/>
      <c r="O1073" s="87"/>
    </row>
    <row r="1074" spans="2:15">
      <c r="B1074" s="83"/>
      <c r="C1074" s="84"/>
      <c r="D1074" s="85"/>
      <c r="E1074" s="85"/>
      <c r="F1074" s="86"/>
      <c r="G1074" s="86"/>
      <c r="H1074" s="87"/>
      <c r="I1074" s="86"/>
      <c r="J1074" s="87"/>
      <c r="K1074" s="86"/>
      <c r="L1074" s="86"/>
      <c r="M1074" s="87"/>
      <c r="N1074" s="86"/>
      <c r="O1074" s="87"/>
    </row>
    <row r="1075" spans="2:15">
      <c r="B1075" s="83"/>
      <c r="C1075" s="84"/>
      <c r="D1075" s="85"/>
      <c r="E1075" s="85"/>
      <c r="F1075" s="86"/>
      <c r="G1075" s="86"/>
      <c r="H1075" s="87"/>
      <c r="I1075" s="86"/>
      <c r="J1075" s="87"/>
      <c r="K1075" s="86"/>
      <c r="L1075" s="86"/>
      <c r="M1075" s="87"/>
      <c r="N1075" s="86"/>
      <c r="O1075" s="87"/>
    </row>
    <row r="1076" spans="2:15">
      <c r="B1076" s="83"/>
      <c r="C1076" s="84"/>
      <c r="D1076" s="85"/>
      <c r="E1076" s="85"/>
      <c r="F1076" s="86"/>
      <c r="G1076" s="86"/>
      <c r="H1076" s="87"/>
      <c r="I1076" s="86"/>
      <c r="J1076" s="87"/>
      <c r="K1076" s="86"/>
      <c r="L1076" s="86"/>
      <c r="M1076" s="87"/>
      <c r="N1076" s="86"/>
      <c r="O1076" s="87"/>
    </row>
    <row r="1077" spans="2:15">
      <c r="B1077" s="83"/>
      <c r="C1077" s="84"/>
      <c r="D1077" s="85"/>
      <c r="E1077" s="85"/>
      <c r="F1077" s="86"/>
      <c r="G1077" s="86"/>
      <c r="H1077" s="87"/>
      <c r="I1077" s="86"/>
      <c r="J1077" s="87"/>
      <c r="K1077" s="86"/>
      <c r="L1077" s="86"/>
      <c r="M1077" s="87"/>
      <c r="N1077" s="86"/>
      <c r="O1077" s="87"/>
    </row>
    <row r="1078" spans="2:15">
      <c r="B1078" s="83"/>
      <c r="C1078" s="84"/>
      <c r="D1078" s="85"/>
      <c r="E1078" s="85"/>
      <c r="F1078" s="86"/>
      <c r="G1078" s="86"/>
      <c r="H1078" s="87"/>
      <c r="I1078" s="86"/>
      <c r="J1078" s="87"/>
      <c r="K1078" s="86"/>
      <c r="L1078" s="86"/>
      <c r="M1078" s="87"/>
      <c r="N1078" s="86"/>
      <c r="O1078" s="87"/>
    </row>
    <row r="1079" spans="2:15">
      <c r="B1079" s="83"/>
      <c r="C1079" s="84"/>
      <c r="D1079" s="85"/>
      <c r="E1079" s="85"/>
      <c r="F1079" s="86"/>
      <c r="G1079" s="86"/>
      <c r="H1079" s="87"/>
      <c r="I1079" s="86"/>
      <c r="J1079" s="87"/>
      <c r="K1079" s="86"/>
      <c r="L1079" s="86"/>
      <c r="M1079" s="87"/>
      <c r="N1079" s="86"/>
      <c r="O1079" s="87"/>
    </row>
    <row r="1080" spans="2:15">
      <c r="B1080" s="83"/>
      <c r="C1080" s="84"/>
      <c r="D1080" s="85"/>
      <c r="E1080" s="85"/>
      <c r="F1080" s="86"/>
      <c r="G1080" s="86"/>
      <c r="H1080" s="87"/>
      <c r="I1080" s="86"/>
      <c r="J1080" s="87"/>
      <c r="K1080" s="86"/>
      <c r="L1080" s="86"/>
      <c r="M1080" s="87"/>
      <c r="N1080" s="86"/>
      <c r="O1080" s="87"/>
    </row>
    <row r="1081" spans="2:15">
      <c r="B1081" s="83"/>
      <c r="C1081" s="84"/>
      <c r="D1081" s="85"/>
      <c r="E1081" s="85"/>
      <c r="F1081" s="86"/>
      <c r="G1081" s="86"/>
      <c r="H1081" s="87"/>
      <c r="I1081" s="86"/>
      <c r="J1081" s="87"/>
      <c r="K1081" s="86"/>
      <c r="L1081" s="86"/>
      <c r="M1081" s="87"/>
      <c r="N1081" s="86"/>
      <c r="O1081" s="87"/>
    </row>
    <row r="1082" spans="2:15">
      <c r="B1082" s="83"/>
      <c r="C1082" s="84"/>
      <c r="D1082" s="85"/>
      <c r="E1082" s="85"/>
      <c r="F1082" s="86"/>
      <c r="G1082" s="86"/>
      <c r="H1082" s="87"/>
      <c r="I1082" s="86"/>
      <c r="J1082" s="87"/>
      <c r="K1082" s="86"/>
      <c r="L1082" s="86"/>
      <c r="M1082" s="87"/>
      <c r="N1082" s="86"/>
      <c r="O1082" s="87"/>
    </row>
    <row r="1083" spans="2:15">
      <c r="B1083" s="83"/>
      <c r="C1083" s="84"/>
      <c r="D1083" s="85"/>
      <c r="E1083" s="85"/>
      <c r="F1083" s="86"/>
      <c r="G1083" s="86"/>
      <c r="H1083" s="87"/>
      <c r="I1083" s="86"/>
      <c r="J1083" s="87"/>
      <c r="K1083" s="86"/>
      <c r="L1083" s="86"/>
      <c r="M1083" s="87"/>
      <c r="N1083" s="86"/>
      <c r="O1083" s="87"/>
    </row>
    <row r="1084" spans="2:15">
      <c r="B1084" s="83"/>
      <c r="C1084" s="84"/>
      <c r="D1084" s="85"/>
      <c r="E1084" s="85"/>
      <c r="F1084" s="86"/>
      <c r="G1084" s="86"/>
      <c r="H1084" s="87"/>
      <c r="I1084" s="86"/>
      <c r="J1084" s="87"/>
      <c r="K1084" s="86"/>
      <c r="L1084" s="86"/>
      <c r="M1084" s="87"/>
      <c r="N1084" s="86"/>
      <c r="O1084" s="87"/>
    </row>
    <row r="1085" spans="2:15">
      <c r="B1085" s="83"/>
      <c r="C1085" s="84"/>
      <c r="D1085" s="85"/>
      <c r="E1085" s="85"/>
      <c r="F1085" s="86"/>
      <c r="G1085" s="86"/>
      <c r="H1085" s="87"/>
      <c r="I1085" s="86"/>
      <c r="J1085" s="87"/>
      <c r="K1085" s="86"/>
      <c r="L1085" s="86"/>
      <c r="M1085" s="87"/>
      <c r="N1085" s="86"/>
      <c r="O1085" s="87"/>
    </row>
    <row r="1086" spans="2:15">
      <c r="B1086" s="83"/>
      <c r="C1086" s="84"/>
      <c r="D1086" s="85"/>
      <c r="E1086" s="85"/>
      <c r="F1086" s="86"/>
      <c r="G1086" s="86"/>
      <c r="H1086" s="87"/>
      <c r="I1086" s="86"/>
      <c r="J1086" s="87"/>
      <c r="K1086" s="86"/>
      <c r="L1086" s="86"/>
      <c r="M1086" s="87"/>
      <c r="N1086" s="86"/>
      <c r="O1086" s="87"/>
    </row>
    <row r="1087" spans="2:15">
      <c r="B1087" s="83"/>
      <c r="C1087" s="84"/>
      <c r="D1087" s="85"/>
      <c r="E1087" s="85"/>
      <c r="F1087" s="86"/>
      <c r="G1087" s="86"/>
      <c r="H1087" s="87"/>
      <c r="I1087" s="86"/>
      <c r="J1087" s="87"/>
      <c r="K1087" s="86"/>
      <c r="L1087" s="86"/>
      <c r="M1087" s="87"/>
      <c r="N1087" s="86"/>
      <c r="O1087" s="87"/>
    </row>
    <row r="1088" spans="2:15">
      <c r="B1088" s="83"/>
      <c r="C1088" s="84"/>
      <c r="D1088" s="85"/>
      <c r="E1088" s="85"/>
      <c r="F1088" s="86"/>
      <c r="G1088" s="86"/>
      <c r="H1088" s="87"/>
      <c r="I1088" s="86"/>
      <c r="J1088" s="87"/>
      <c r="K1088" s="86"/>
      <c r="L1088" s="86"/>
      <c r="M1088" s="87"/>
      <c r="N1088" s="86"/>
      <c r="O1088" s="87"/>
    </row>
    <row r="1089" spans="2:15">
      <c r="B1089" s="83"/>
      <c r="C1089" s="84"/>
      <c r="D1089" s="85"/>
      <c r="E1089" s="85"/>
      <c r="F1089" s="86"/>
      <c r="G1089" s="86"/>
      <c r="H1089" s="87"/>
      <c r="I1089" s="86"/>
      <c r="J1089" s="87"/>
      <c r="K1089" s="86"/>
      <c r="L1089" s="86"/>
      <c r="M1089" s="87"/>
      <c r="N1089" s="86"/>
      <c r="O1089" s="87"/>
    </row>
    <row r="1090" spans="2:15">
      <c r="B1090" s="83"/>
      <c r="C1090" s="84"/>
      <c r="D1090" s="85"/>
      <c r="E1090" s="85"/>
      <c r="F1090" s="86"/>
      <c r="G1090" s="86"/>
      <c r="H1090" s="87"/>
      <c r="I1090" s="86"/>
      <c r="J1090" s="87"/>
      <c r="K1090" s="86"/>
      <c r="L1090" s="86"/>
      <c r="M1090" s="87"/>
      <c r="N1090" s="86"/>
      <c r="O1090" s="87"/>
    </row>
    <row r="1091" spans="2:15">
      <c r="B1091" s="83"/>
      <c r="C1091" s="84"/>
      <c r="D1091" s="85"/>
      <c r="E1091" s="85"/>
      <c r="F1091" s="86"/>
      <c r="G1091" s="86"/>
      <c r="H1091" s="87"/>
      <c r="I1091" s="86"/>
      <c r="J1091" s="87"/>
      <c r="K1091" s="86"/>
      <c r="L1091" s="86"/>
      <c r="M1091" s="87"/>
      <c r="N1091" s="86"/>
      <c r="O1091" s="87"/>
    </row>
    <row r="1092" spans="2:15">
      <c r="B1092" s="83"/>
      <c r="C1092" s="84"/>
      <c r="D1092" s="85"/>
      <c r="E1092" s="85"/>
      <c r="F1092" s="86"/>
      <c r="G1092" s="86"/>
      <c r="H1092" s="87"/>
      <c r="I1092" s="86"/>
      <c r="J1092" s="87"/>
      <c r="K1092" s="86"/>
      <c r="L1092" s="86"/>
      <c r="M1092" s="87"/>
      <c r="N1092" s="86"/>
      <c r="O1092" s="87"/>
    </row>
    <row r="1093" spans="2:15">
      <c r="B1093" s="83"/>
      <c r="C1093" s="84"/>
      <c r="D1093" s="85"/>
      <c r="E1093" s="85"/>
      <c r="F1093" s="86"/>
      <c r="G1093" s="86"/>
      <c r="H1093" s="87"/>
      <c r="I1093" s="86"/>
      <c r="J1093" s="87"/>
      <c r="K1093" s="86"/>
      <c r="L1093" s="86"/>
      <c r="M1093" s="87"/>
      <c r="N1093" s="86"/>
      <c r="O1093" s="87"/>
    </row>
    <row r="1094" spans="2:15">
      <c r="B1094" s="83"/>
      <c r="C1094" s="84"/>
      <c r="D1094" s="85"/>
      <c r="E1094" s="85"/>
      <c r="F1094" s="86"/>
      <c r="G1094" s="86"/>
      <c r="H1094" s="87"/>
      <c r="I1094" s="86"/>
      <c r="J1094" s="87"/>
      <c r="K1094" s="86"/>
      <c r="L1094" s="86"/>
      <c r="M1094" s="87"/>
      <c r="N1094" s="86"/>
      <c r="O1094" s="87"/>
    </row>
    <row r="1095" spans="2:15">
      <c r="B1095" s="83"/>
      <c r="C1095" s="84"/>
      <c r="D1095" s="85"/>
      <c r="E1095" s="85"/>
      <c r="F1095" s="86"/>
      <c r="G1095" s="86"/>
      <c r="H1095" s="87"/>
      <c r="I1095" s="86"/>
      <c r="J1095" s="87"/>
      <c r="K1095" s="86"/>
      <c r="L1095" s="86"/>
      <c r="M1095" s="87"/>
      <c r="N1095" s="86"/>
      <c r="O1095" s="87"/>
    </row>
    <row r="1096" spans="2:15">
      <c r="B1096" s="83"/>
      <c r="C1096" s="84"/>
      <c r="D1096" s="85"/>
      <c r="E1096" s="85"/>
      <c r="F1096" s="86"/>
      <c r="G1096" s="86"/>
      <c r="H1096" s="87"/>
      <c r="I1096" s="86"/>
      <c r="J1096" s="87"/>
      <c r="K1096" s="86"/>
      <c r="L1096" s="86"/>
      <c r="M1096" s="87"/>
      <c r="N1096" s="86"/>
      <c r="O1096" s="87"/>
    </row>
    <row r="1097" spans="2:15">
      <c r="B1097" s="83"/>
      <c r="C1097" s="84"/>
      <c r="D1097" s="85"/>
      <c r="E1097" s="85"/>
      <c r="F1097" s="86"/>
      <c r="G1097" s="86"/>
      <c r="H1097" s="87"/>
      <c r="I1097" s="86"/>
      <c r="J1097" s="87"/>
      <c r="K1097" s="86"/>
      <c r="L1097" s="86"/>
      <c r="M1097" s="87"/>
      <c r="N1097" s="86"/>
      <c r="O1097" s="87"/>
    </row>
    <row r="1098" spans="2:15">
      <c r="B1098" s="83"/>
      <c r="C1098" s="84"/>
      <c r="D1098" s="85"/>
      <c r="E1098" s="85"/>
      <c r="F1098" s="86"/>
      <c r="G1098" s="86"/>
      <c r="H1098" s="87"/>
      <c r="I1098" s="86"/>
      <c r="J1098" s="87"/>
      <c r="K1098" s="86"/>
      <c r="L1098" s="86"/>
      <c r="M1098" s="87"/>
      <c r="N1098" s="86"/>
      <c r="O1098" s="87"/>
    </row>
    <row r="1099" spans="2:15">
      <c r="B1099" s="83"/>
      <c r="C1099" s="84"/>
      <c r="D1099" s="85"/>
      <c r="E1099" s="85"/>
      <c r="F1099" s="86"/>
      <c r="G1099" s="86"/>
      <c r="H1099" s="87"/>
      <c r="I1099" s="86"/>
      <c r="J1099" s="87"/>
      <c r="K1099" s="86"/>
      <c r="L1099" s="86"/>
      <c r="M1099" s="87"/>
      <c r="N1099" s="86"/>
      <c r="O1099" s="87"/>
    </row>
    <row r="1100" spans="2:15">
      <c r="B1100" s="83"/>
      <c r="C1100" s="84"/>
      <c r="D1100" s="85"/>
      <c r="E1100" s="85"/>
      <c r="F1100" s="86"/>
      <c r="G1100" s="86"/>
      <c r="H1100" s="87"/>
      <c r="I1100" s="86"/>
      <c r="J1100" s="87"/>
      <c r="K1100" s="86"/>
      <c r="L1100" s="86"/>
      <c r="M1100" s="87"/>
      <c r="N1100" s="86"/>
      <c r="O1100" s="87"/>
    </row>
    <row r="1101" spans="2:15">
      <c r="B1101" s="83"/>
      <c r="C1101" s="84"/>
      <c r="D1101" s="85"/>
      <c r="E1101" s="85"/>
      <c r="F1101" s="86"/>
      <c r="G1101" s="86"/>
      <c r="H1101" s="87"/>
      <c r="I1101" s="86"/>
      <c r="J1101" s="87"/>
      <c r="K1101" s="86"/>
      <c r="L1101" s="86"/>
      <c r="M1101" s="87"/>
      <c r="N1101" s="86"/>
      <c r="O1101" s="87"/>
    </row>
    <row r="1102" spans="2:15">
      <c r="B1102" s="83"/>
      <c r="C1102" s="84"/>
      <c r="D1102" s="85"/>
      <c r="E1102" s="85"/>
      <c r="F1102" s="86"/>
      <c r="G1102" s="86"/>
      <c r="H1102" s="87"/>
      <c r="I1102" s="86"/>
      <c r="J1102" s="87"/>
      <c r="K1102" s="86"/>
      <c r="L1102" s="86"/>
      <c r="M1102" s="87"/>
      <c r="N1102" s="86"/>
      <c r="O1102" s="87"/>
    </row>
    <row r="1103" spans="2:15">
      <c r="B1103" s="83"/>
      <c r="C1103" s="84"/>
      <c r="D1103" s="85"/>
      <c r="E1103" s="85"/>
      <c r="F1103" s="86"/>
      <c r="G1103" s="86"/>
      <c r="H1103" s="87"/>
      <c r="I1103" s="86"/>
      <c r="J1103" s="87"/>
      <c r="K1103" s="86"/>
      <c r="L1103" s="86"/>
      <c r="M1103" s="87"/>
      <c r="N1103" s="86"/>
      <c r="O1103" s="87"/>
    </row>
    <row r="1104" spans="2:15">
      <c r="B1104" s="83"/>
      <c r="C1104" s="84"/>
      <c r="D1104" s="85"/>
      <c r="E1104" s="85"/>
      <c r="F1104" s="86"/>
      <c r="G1104" s="86"/>
      <c r="H1104" s="87"/>
      <c r="I1104" s="86"/>
      <c r="J1104" s="87"/>
      <c r="K1104" s="86"/>
      <c r="L1104" s="86"/>
      <c r="M1104" s="87"/>
      <c r="N1104" s="86"/>
      <c r="O1104" s="87"/>
    </row>
    <row r="1105" spans="2:15">
      <c r="B1105" s="83"/>
      <c r="C1105" s="84"/>
      <c r="D1105" s="85"/>
      <c r="E1105" s="85"/>
      <c r="F1105" s="86"/>
      <c r="G1105" s="86"/>
      <c r="H1105" s="87"/>
      <c r="I1105" s="86"/>
      <c r="J1105" s="87"/>
      <c r="K1105" s="86"/>
      <c r="L1105" s="86"/>
      <c r="M1105" s="87"/>
      <c r="N1105" s="86"/>
      <c r="O1105" s="87"/>
    </row>
    <row r="1106" spans="2:15">
      <c r="B1106" s="83"/>
      <c r="C1106" s="84"/>
      <c r="D1106" s="85"/>
      <c r="E1106" s="85"/>
      <c r="F1106" s="86"/>
      <c r="G1106" s="86"/>
      <c r="H1106" s="87"/>
      <c r="I1106" s="86"/>
      <c r="J1106" s="87"/>
      <c r="K1106" s="86"/>
      <c r="L1106" s="86"/>
      <c r="M1106" s="87"/>
      <c r="N1106" s="86"/>
      <c r="O1106" s="87"/>
    </row>
    <row r="1107" spans="2:15">
      <c r="B1107" s="83"/>
      <c r="C1107" s="84"/>
      <c r="D1107" s="85"/>
      <c r="E1107" s="85"/>
      <c r="F1107" s="86"/>
      <c r="G1107" s="86"/>
      <c r="H1107" s="87"/>
      <c r="I1107" s="86"/>
      <c r="J1107" s="87"/>
      <c r="K1107" s="86"/>
      <c r="L1107" s="86"/>
      <c r="M1107" s="87"/>
      <c r="N1107" s="86"/>
      <c r="O1107" s="87"/>
    </row>
    <row r="1108" spans="2:15">
      <c r="B1108" s="83"/>
      <c r="C1108" s="84"/>
      <c r="D1108" s="85"/>
      <c r="E1108" s="85"/>
      <c r="F1108" s="86"/>
      <c r="G1108" s="86"/>
      <c r="H1108" s="87"/>
      <c r="I1108" s="86"/>
      <c r="J1108" s="87"/>
      <c r="K1108" s="86"/>
      <c r="L1108" s="86"/>
      <c r="M1108" s="87"/>
      <c r="N1108" s="86"/>
      <c r="O1108" s="87"/>
    </row>
    <row r="1109" spans="2:15">
      <c r="B1109" s="83"/>
      <c r="C1109" s="84"/>
      <c r="D1109" s="85"/>
      <c r="E1109" s="85"/>
      <c r="F1109" s="86"/>
      <c r="G1109" s="86"/>
      <c r="H1109" s="87"/>
      <c r="I1109" s="86"/>
      <c r="J1109" s="87"/>
      <c r="K1109" s="86"/>
      <c r="L1109" s="86"/>
      <c r="M1109" s="87"/>
      <c r="N1109" s="86"/>
      <c r="O1109" s="87"/>
    </row>
    <row r="1110" spans="2:15">
      <c r="B1110" s="83"/>
      <c r="C1110" s="84"/>
      <c r="D1110" s="85"/>
      <c r="E1110" s="85"/>
      <c r="F1110" s="86"/>
      <c r="G1110" s="86"/>
      <c r="H1110" s="87"/>
      <c r="I1110" s="86"/>
      <c r="J1110" s="87"/>
      <c r="K1110" s="86"/>
      <c r="L1110" s="86"/>
      <c r="M1110" s="87"/>
      <c r="N1110" s="86"/>
      <c r="O1110" s="87"/>
    </row>
    <row r="1111" spans="2:15">
      <c r="B1111" s="83"/>
      <c r="C1111" s="84"/>
      <c r="D1111" s="85"/>
      <c r="E1111" s="85"/>
      <c r="F1111" s="86"/>
      <c r="G1111" s="86"/>
      <c r="H1111" s="87"/>
      <c r="I1111" s="86"/>
      <c r="J1111" s="87"/>
      <c r="K1111" s="86"/>
      <c r="L1111" s="86"/>
      <c r="M1111" s="87"/>
      <c r="N1111" s="86"/>
      <c r="O1111" s="87"/>
    </row>
    <row r="1112" spans="2:15">
      <c r="B1112" s="83"/>
      <c r="C1112" s="84"/>
      <c r="D1112" s="85"/>
      <c r="E1112" s="85"/>
      <c r="F1112" s="86"/>
      <c r="G1112" s="86"/>
      <c r="H1112" s="87"/>
      <c r="I1112" s="86"/>
      <c r="J1112" s="87"/>
      <c r="K1112" s="86"/>
      <c r="L1112" s="86"/>
      <c r="M1112" s="87"/>
      <c r="N1112" s="86"/>
      <c r="O1112" s="87"/>
    </row>
    <row r="1113" spans="2:15">
      <c r="B1113" s="83"/>
      <c r="C1113" s="84"/>
      <c r="D1113" s="85"/>
      <c r="E1113" s="85"/>
      <c r="F1113" s="86"/>
      <c r="G1113" s="86"/>
      <c r="H1113" s="87"/>
      <c r="I1113" s="86"/>
      <c r="J1113" s="87"/>
      <c r="K1113" s="86"/>
      <c r="L1113" s="86"/>
      <c r="M1113" s="87"/>
      <c r="N1113" s="86"/>
      <c r="O1113" s="87"/>
    </row>
    <row r="1114" spans="2:15">
      <c r="B1114" s="83"/>
      <c r="C1114" s="84"/>
      <c r="D1114" s="85"/>
      <c r="E1114" s="85"/>
      <c r="F1114" s="86"/>
      <c r="G1114" s="86"/>
      <c r="H1114" s="87"/>
      <c r="I1114" s="86"/>
      <c r="J1114" s="87"/>
      <c r="K1114" s="86"/>
      <c r="L1114" s="86"/>
      <c r="M1114" s="87"/>
      <c r="N1114" s="86"/>
      <c r="O1114" s="87"/>
    </row>
    <row r="1115" spans="2:15">
      <c r="B1115" s="83"/>
      <c r="C1115" s="84"/>
      <c r="D1115" s="85"/>
      <c r="E1115" s="85"/>
      <c r="F1115" s="86"/>
      <c r="G1115" s="86"/>
      <c r="H1115" s="87"/>
      <c r="I1115" s="86"/>
      <c r="J1115" s="87"/>
      <c r="K1115" s="86"/>
      <c r="L1115" s="86"/>
      <c r="M1115" s="87"/>
      <c r="N1115" s="86"/>
      <c r="O1115" s="87"/>
    </row>
    <row r="1116" spans="2:15">
      <c r="B1116" s="83"/>
      <c r="C1116" s="84"/>
      <c r="D1116" s="85"/>
      <c r="E1116" s="85"/>
      <c r="F1116" s="86"/>
      <c r="G1116" s="86"/>
      <c r="H1116" s="87"/>
      <c r="I1116" s="86"/>
      <c r="J1116" s="87"/>
      <c r="K1116" s="86"/>
      <c r="L1116" s="86"/>
      <c r="M1116" s="87"/>
      <c r="N1116" s="86"/>
      <c r="O1116" s="87"/>
    </row>
    <row r="1117" spans="2:15">
      <c r="B1117" s="83"/>
      <c r="C1117" s="84"/>
      <c r="D1117" s="85"/>
      <c r="E1117" s="85"/>
      <c r="F1117" s="86"/>
      <c r="G1117" s="86"/>
      <c r="H1117" s="87"/>
      <c r="I1117" s="86"/>
      <c r="J1117" s="87"/>
      <c r="K1117" s="86"/>
      <c r="L1117" s="86"/>
      <c r="M1117" s="87"/>
      <c r="N1117" s="86"/>
      <c r="O1117" s="87"/>
    </row>
    <row r="1118" spans="2:15">
      <c r="B1118" s="83"/>
      <c r="C1118" s="84"/>
      <c r="D1118" s="85"/>
      <c r="E1118" s="85"/>
      <c r="F1118" s="86"/>
      <c r="G1118" s="86"/>
      <c r="H1118" s="87"/>
      <c r="I1118" s="86"/>
      <c r="J1118" s="87"/>
      <c r="K1118" s="86"/>
      <c r="L1118" s="86"/>
      <c r="M1118" s="87"/>
      <c r="N1118" s="86"/>
      <c r="O1118" s="87"/>
    </row>
    <row r="1119" spans="2:15">
      <c r="B1119" s="83"/>
      <c r="C1119" s="84"/>
      <c r="D1119" s="85"/>
      <c r="E1119" s="85"/>
      <c r="F1119" s="86"/>
      <c r="G1119" s="86"/>
      <c r="H1119" s="87"/>
      <c r="I1119" s="86"/>
      <c r="J1119" s="87"/>
      <c r="K1119" s="86"/>
      <c r="L1119" s="86"/>
      <c r="M1119" s="87"/>
      <c r="N1119" s="86"/>
      <c r="O1119" s="87"/>
    </row>
    <row r="1120" spans="2:15">
      <c r="B1120" s="83"/>
      <c r="C1120" s="84"/>
      <c r="D1120" s="85"/>
      <c r="E1120" s="85"/>
      <c r="F1120" s="86"/>
      <c r="G1120" s="86"/>
      <c r="H1120" s="87"/>
      <c r="I1120" s="86"/>
      <c r="J1120" s="87"/>
      <c r="K1120" s="86"/>
      <c r="L1120" s="86"/>
      <c r="M1120" s="87"/>
      <c r="N1120" s="86"/>
      <c r="O1120" s="87"/>
    </row>
    <row r="1121" spans="2:15">
      <c r="B1121" s="83"/>
      <c r="C1121" s="84"/>
      <c r="D1121" s="85"/>
      <c r="E1121" s="85"/>
      <c r="F1121" s="86"/>
      <c r="G1121" s="86"/>
      <c r="H1121" s="87"/>
      <c r="I1121" s="86"/>
      <c r="J1121" s="87"/>
      <c r="K1121" s="86"/>
      <c r="L1121" s="86"/>
      <c r="M1121" s="87"/>
      <c r="N1121" s="86"/>
      <c r="O1121" s="87"/>
    </row>
    <row r="1122" spans="2:15">
      <c r="B1122" s="83"/>
      <c r="C1122" s="84"/>
      <c r="D1122" s="85"/>
      <c r="E1122" s="85"/>
      <c r="F1122" s="86"/>
      <c r="G1122" s="86"/>
      <c r="H1122" s="87"/>
      <c r="I1122" s="86"/>
      <c r="J1122" s="87"/>
      <c r="K1122" s="86"/>
      <c r="L1122" s="86"/>
      <c r="M1122" s="87"/>
      <c r="N1122" s="86"/>
      <c r="O1122" s="87"/>
    </row>
    <row r="1123" spans="2:15">
      <c r="B1123" s="83"/>
      <c r="C1123" s="84"/>
      <c r="D1123" s="85"/>
      <c r="E1123" s="85"/>
      <c r="F1123" s="86"/>
      <c r="G1123" s="86"/>
      <c r="H1123" s="87"/>
      <c r="I1123" s="86"/>
      <c r="J1123" s="87"/>
      <c r="K1123" s="86"/>
      <c r="L1123" s="86"/>
      <c r="M1123" s="87"/>
      <c r="N1123" s="86"/>
      <c r="O1123" s="87"/>
    </row>
    <row r="1124" spans="2:15">
      <c r="B1124" s="83"/>
      <c r="C1124" s="84"/>
      <c r="D1124" s="85"/>
      <c r="E1124" s="85"/>
      <c r="F1124" s="86"/>
      <c r="G1124" s="86"/>
      <c r="H1124" s="87"/>
      <c r="I1124" s="86"/>
      <c r="J1124" s="87"/>
      <c r="K1124" s="86"/>
      <c r="L1124" s="86"/>
      <c r="M1124" s="87"/>
      <c r="N1124" s="86"/>
      <c r="O1124" s="87"/>
    </row>
    <row r="1125" spans="2:15">
      <c r="B1125" s="83"/>
      <c r="C1125" s="84"/>
      <c r="D1125" s="85"/>
      <c r="E1125" s="85"/>
      <c r="F1125" s="86"/>
      <c r="G1125" s="86"/>
      <c r="H1125" s="87"/>
      <c r="I1125" s="86"/>
      <c r="J1125" s="87"/>
      <c r="K1125" s="86"/>
      <c r="L1125" s="86"/>
      <c r="M1125" s="87"/>
      <c r="N1125" s="86"/>
      <c r="O1125" s="87"/>
    </row>
    <row r="1126" spans="2:15">
      <c r="B1126" s="83"/>
      <c r="C1126" s="84"/>
      <c r="D1126" s="85"/>
      <c r="E1126" s="85"/>
      <c r="F1126" s="86"/>
      <c r="G1126" s="86"/>
      <c r="H1126" s="87"/>
      <c r="I1126" s="86"/>
      <c r="J1126" s="87"/>
      <c r="K1126" s="86"/>
      <c r="L1126" s="86"/>
      <c r="M1126" s="87"/>
      <c r="N1126" s="86"/>
      <c r="O1126" s="87"/>
    </row>
    <row r="1127" spans="2:15">
      <c r="B1127" s="83"/>
      <c r="C1127" s="84"/>
      <c r="D1127" s="85"/>
      <c r="E1127" s="85"/>
      <c r="F1127" s="86"/>
      <c r="G1127" s="86"/>
      <c r="H1127" s="87"/>
      <c r="I1127" s="86"/>
      <c r="J1127" s="87"/>
      <c r="K1127" s="86"/>
      <c r="L1127" s="86"/>
      <c r="M1127" s="87"/>
      <c r="N1127" s="86"/>
      <c r="O1127" s="87"/>
    </row>
    <row r="1128" spans="2:15">
      <c r="B1128" s="83"/>
      <c r="C1128" s="84"/>
      <c r="D1128" s="85"/>
      <c r="E1128" s="85"/>
      <c r="F1128" s="86"/>
      <c r="G1128" s="86"/>
      <c r="H1128" s="87"/>
      <c r="I1128" s="86"/>
      <c r="J1128" s="87"/>
      <c r="K1128" s="86"/>
      <c r="L1128" s="86"/>
      <c r="M1128" s="87"/>
      <c r="N1128" s="86"/>
      <c r="O1128" s="87"/>
    </row>
    <row r="1129" spans="2:15">
      <c r="B1129" s="83"/>
      <c r="C1129" s="84"/>
      <c r="D1129" s="85"/>
      <c r="E1129" s="85"/>
      <c r="F1129" s="86"/>
      <c r="G1129" s="86"/>
      <c r="H1129" s="87"/>
      <c r="I1129" s="86"/>
      <c r="J1129" s="87"/>
      <c r="K1129" s="86"/>
      <c r="L1129" s="86"/>
      <c r="M1129" s="87"/>
      <c r="N1129" s="86"/>
      <c r="O1129" s="87"/>
    </row>
    <row r="1130" spans="2:15">
      <c r="B1130" s="83"/>
      <c r="C1130" s="84"/>
      <c r="D1130" s="85"/>
      <c r="E1130" s="85"/>
      <c r="F1130" s="86"/>
      <c r="G1130" s="86"/>
      <c r="H1130" s="87"/>
      <c r="I1130" s="86"/>
      <c r="J1130" s="87"/>
      <c r="K1130" s="86"/>
      <c r="L1130" s="86"/>
      <c r="M1130" s="87"/>
      <c r="N1130" s="86"/>
      <c r="O1130" s="87"/>
    </row>
    <row r="1131" spans="2:15">
      <c r="B1131" s="83"/>
      <c r="C1131" s="84"/>
      <c r="D1131" s="85"/>
      <c r="E1131" s="85"/>
      <c r="F1131" s="86"/>
      <c r="G1131" s="86"/>
      <c r="H1131" s="87"/>
      <c r="I1131" s="86"/>
      <c r="J1131" s="87"/>
      <c r="K1131" s="86"/>
      <c r="L1131" s="86"/>
      <c r="M1131" s="87"/>
      <c r="N1131" s="86"/>
      <c r="O1131" s="87"/>
    </row>
    <row r="1132" spans="2:15">
      <c r="B1132" s="83"/>
      <c r="C1132" s="84"/>
      <c r="D1132" s="85"/>
      <c r="E1132" s="85"/>
      <c r="F1132" s="86"/>
      <c r="G1132" s="86"/>
      <c r="H1132" s="87"/>
      <c r="I1132" s="86"/>
      <c r="J1132" s="87"/>
      <c r="K1132" s="86"/>
      <c r="L1132" s="86"/>
      <c r="M1132" s="87"/>
      <c r="N1132" s="86"/>
      <c r="O1132" s="87"/>
    </row>
    <row r="1133" spans="2:15">
      <c r="B1133" s="83"/>
      <c r="C1133" s="84"/>
      <c r="D1133" s="85"/>
      <c r="E1133" s="85"/>
      <c r="F1133" s="86"/>
      <c r="G1133" s="86"/>
      <c r="H1133" s="87"/>
      <c r="I1133" s="86"/>
      <c r="J1133" s="87"/>
      <c r="K1133" s="86"/>
      <c r="L1133" s="86"/>
      <c r="M1133" s="87"/>
      <c r="N1133" s="86"/>
      <c r="O1133" s="87"/>
    </row>
    <row r="1134" spans="2:15">
      <c r="B1134" s="83"/>
      <c r="C1134" s="84"/>
      <c r="D1134" s="85"/>
      <c r="E1134" s="85"/>
      <c r="F1134" s="86"/>
      <c r="G1134" s="86"/>
      <c r="H1134" s="87"/>
      <c r="I1134" s="86"/>
      <c r="J1134" s="87"/>
      <c r="K1134" s="86"/>
      <c r="L1134" s="86"/>
      <c r="M1134" s="87"/>
      <c r="N1134" s="86"/>
      <c r="O1134" s="87"/>
    </row>
    <row r="1135" spans="2:15">
      <c r="B1135" s="83"/>
      <c r="C1135" s="84"/>
      <c r="D1135" s="85"/>
      <c r="E1135" s="85"/>
      <c r="F1135" s="86"/>
      <c r="G1135" s="86"/>
      <c r="H1135" s="87"/>
      <c r="I1135" s="86"/>
      <c r="J1135" s="87"/>
      <c r="K1135" s="86"/>
      <c r="L1135" s="86"/>
      <c r="M1135" s="87"/>
      <c r="N1135" s="86"/>
      <c r="O1135" s="87"/>
    </row>
    <row r="1136" spans="2:15">
      <c r="B1136" s="83"/>
      <c r="C1136" s="84"/>
      <c r="D1136" s="85"/>
      <c r="E1136" s="85"/>
      <c r="F1136" s="86"/>
      <c r="G1136" s="86"/>
      <c r="H1136" s="87"/>
      <c r="I1136" s="86"/>
      <c r="J1136" s="87"/>
      <c r="K1136" s="86"/>
      <c r="L1136" s="86"/>
      <c r="M1136" s="87"/>
      <c r="N1136" s="86"/>
      <c r="O1136" s="87"/>
    </row>
    <row r="1137" spans="2:15">
      <c r="B1137" s="83"/>
      <c r="C1137" s="84"/>
      <c r="D1137" s="85"/>
      <c r="E1137" s="85"/>
      <c r="F1137" s="86"/>
      <c r="G1137" s="86"/>
      <c r="H1137" s="87"/>
      <c r="I1137" s="86"/>
      <c r="J1137" s="87"/>
      <c r="K1137" s="86"/>
      <c r="L1137" s="86"/>
      <c r="M1137" s="87"/>
      <c r="N1137" s="86"/>
      <c r="O1137" s="87"/>
    </row>
    <row r="1138" spans="2:15">
      <c r="B1138" s="83"/>
      <c r="C1138" s="84"/>
      <c r="D1138" s="85"/>
      <c r="E1138" s="85"/>
      <c r="F1138" s="86"/>
      <c r="G1138" s="86"/>
      <c r="H1138" s="87"/>
      <c r="I1138" s="86"/>
      <c r="J1138" s="87"/>
      <c r="K1138" s="86"/>
      <c r="L1138" s="86"/>
      <c r="M1138" s="87"/>
      <c r="N1138" s="86"/>
      <c r="O1138" s="87"/>
    </row>
    <row r="1139" spans="2:15">
      <c r="B1139" s="83"/>
      <c r="C1139" s="84"/>
      <c r="D1139" s="85"/>
      <c r="E1139" s="85"/>
      <c r="F1139" s="86"/>
      <c r="G1139" s="86"/>
      <c r="H1139" s="87"/>
      <c r="I1139" s="86"/>
      <c r="J1139" s="87"/>
      <c r="K1139" s="86"/>
      <c r="L1139" s="86"/>
      <c r="M1139" s="87"/>
      <c r="N1139" s="86"/>
      <c r="O1139" s="87"/>
    </row>
    <row r="1140" spans="2:15">
      <c r="B1140" s="83"/>
      <c r="C1140" s="84"/>
      <c r="D1140" s="85"/>
      <c r="E1140" s="85"/>
      <c r="F1140" s="86"/>
      <c r="G1140" s="86"/>
      <c r="H1140" s="87"/>
      <c r="I1140" s="86"/>
      <c r="J1140" s="87"/>
      <c r="K1140" s="86"/>
      <c r="L1140" s="86"/>
      <c r="M1140" s="87"/>
      <c r="N1140" s="86"/>
      <c r="O1140" s="87"/>
    </row>
    <row r="1141" spans="2:15">
      <c r="B1141" s="83"/>
      <c r="C1141" s="84"/>
      <c r="D1141" s="85"/>
      <c r="E1141" s="85"/>
      <c r="F1141" s="86"/>
      <c r="G1141" s="86"/>
      <c r="H1141" s="87"/>
      <c r="I1141" s="86"/>
      <c r="J1141" s="87"/>
      <c r="K1141" s="86"/>
      <c r="L1141" s="86"/>
      <c r="M1141" s="87"/>
      <c r="N1141" s="86"/>
      <c r="O1141" s="87"/>
    </row>
    <row r="1142" spans="2:15">
      <c r="B1142" s="83"/>
      <c r="C1142" s="84"/>
      <c r="D1142" s="85"/>
      <c r="E1142" s="85"/>
      <c r="F1142" s="86"/>
      <c r="G1142" s="86"/>
      <c r="H1142" s="87"/>
      <c r="I1142" s="86"/>
      <c r="J1142" s="87"/>
      <c r="K1142" s="86"/>
      <c r="L1142" s="86"/>
      <c r="M1142" s="87"/>
      <c r="N1142" s="86"/>
      <c r="O1142" s="87"/>
    </row>
    <row r="1143" spans="2:15">
      <c r="B1143" s="83"/>
      <c r="C1143" s="84"/>
      <c r="D1143" s="85"/>
      <c r="E1143" s="85"/>
      <c r="F1143" s="86"/>
      <c r="G1143" s="86"/>
      <c r="H1143" s="87"/>
      <c r="I1143" s="86"/>
      <c r="J1143" s="87"/>
      <c r="K1143" s="86"/>
      <c r="L1143" s="86"/>
      <c r="M1143" s="87"/>
      <c r="N1143" s="86"/>
      <c r="O1143" s="87"/>
    </row>
    <row r="1144" spans="2:15">
      <c r="B1144" s="83"/>
      <c r="C1144" s="84"/>
      <c r="D1144" s="85"/>
      <c r="E1144" s="85"/>
      <c r="F1144" s="86"/>
      <c r="G1144" s="86"/>
      <c r="H1144" s="87"/>
      <c r="I1144" s="86"/>
      <c r="J1144" s="87"/>
      <c r="K1144" s="86"/>
      <c r="L1144" s="86"/>
      <c r="M1144" s="87"/>
      <c r="N1144" s="86"/>
      <c r="O1144" s="87"/>
    </row>
    <row r="1145" spans="2:15">
      <c r="B1145" s="83"/>
      <c r="C1145" s="84"/>
      <c r="D1145" s="85"/>
      <c r="E1145" s="85"/>
      <c r="F1145" s="86"/>
      <c r="G1145" s="86"/>
      <c r="H1145" s="87"/>
      <c r="I1145" s="86"/>
      <c r="J1145" s="87"/>
      <c r="K1145" s="86"/>
      <c r="L1145" s="86"/>
      <c r="M1145" s="87"/>
      <c r="N1145" s="86"/>
      <c r="O1145" s="87"/>
    </row>
    <row r="1146" spans="2:15">
      <c r="B1146" s="83"/>
      <c r="C1146" s="84"/>
      <c r="D1146" s="85"/>
      <c r="E1146" s="85"/>
      <c r="F1146" s="86"/>
      <c r="G1146" s="86"/>
      <c r="H1146" s="87"/>
      <c r="I1146" s="86"/>
      <c r="J1146" s="87"/>
      <c r="K1146" s="86"/>
      <c r="L1146" s="86"/>
      <c r="M1146" s="87"/>
      <c r="N1146" s="86"/>
      <c r="O1146" s="87"/>
    </row>
    <row r="1147" spans="2:15">
      <c r="B1147" s="83"/>
      <c r="C1147" s="84"/>
      <c r="D1147" s="85"/>
      <c r="E1147" s="85"/>
      <c r="F1147" s="86"/>
      <c r="G1147" s="86"/>
      <c r="H1147" s="87"/>
      <c r="I1147" s="86"/>
      <c r="J1147" s="87"/>
      <c r="K1147" s="86"/>
      <c r="L1147" s="86"/>
      <c r="M1147" s="87"/>
      <c r="N1147" s="86"/>
      <c r="O1147" s="87"/>
    </row>
    <row r="1148" spans="2:15">
      <c r="B1148" s="83"/>
      <c r="C1148" s="84"/>
      <c r="D1148" s="85"/>
      <c r="E1148" s="85"/>
      <c r="F1148" s="86"/>
      <c r="G1148" s="86"/>
      <c r="H1148" s="87"/>
      <c r="I1148" s="86"/>
      <c r="J1148" s="87"/>
      <c r="K1148" s="86"/>
      <c r="L1148" s="86"/>
      <c r="M1148" s="87"/>
      <c r="N1148" s="86"/>
      <c r="O1148" s="87"/>
    </row>
    <row r="1149" spans="2:15">
      <c r="B1149" s="83"/>
      <c r="C1149" s="84"/>
      <c r="D1149" s="85"/>
      <c r="E1149" s="85"/>
      <c r="F1149" s="86"/>
      <c r="G1149" s="86"/>
      <c r="H1149" s="87"/>
      <c r="I1149" s="86"/>
      <c r="J1149" s="87"/>
      <c r="K1149" s="86"/>
      <c r="L1149" s="86"/>
      <c r="M1149" s="87"/>
      <c r="N1149" s="86"/>
      <c r="O1149" s="87"/>
    </row>
    <row r="1150" spans="2:15">
      <c r="B1150" s="83"/>
      <c r="C1150" s="84"/>
      <c r="D1150" s="85"/>
      <c r="E1150" s="85"/>
      <c r="F1150" s="86"/>
      <c r="G1150" s="86"/>
      <c r="H1150" s="87"/>
      <c r="I1150" s="86"/>
      <c r="J1150" s="87"/>
      <c r="K1150" s="86"/>
      <c r="L1150" s="86"/>
      <c r="M1150" s="87"/>
      <c r="N1150" s="86"/>
      <c r="O1150" s="87"/>
    </row>
    <row r="1151" spans="2:15">
      <c r="B1151" s="83"/>
      <c r="C1151" s="84"/>
      <c r="D1151" s="85"/>
      <c r="E1151" s="85"/>
      <c r="F1151" s="86"/>
      <c r="G1151" s="86"/>
      <c r="H1151" s="87"/>
      <c r="I1151" s="86"/>
      <c r="J1151" s="87"/>
      <c r="K1151" s="86"/>
      <c r="L1151" s="86"/>
      <c r="M1151" s="87"/>
      <c r="N1151" s="86"/>
      <c r="O1151" s="87"/>
    </row>
    <row r="1152" spans="2:15">
      <c r="B1152" s="83"/>
      <c r="C1152" s="84"/>
      <c r="D1152" s="85"/>
      <c r="E1152" s="85"/>
      <c r="F1152" s="86"/>
      <c r="G1152" s="86"/>
      <c r="H1152" s="87"/>
      <c r="I1152" s="86"/>
      <c r="J1152" s="87"/>
      <c r="K1152" s="86"/>
      <c r="L1152" s="86"/>
      <c r="M1152" s="87"/>
      <c r="N1152" s="86"/>
      <c r="O1152" s="87"/>
    </row>
    <row r="1153" spans="2:15">
      <c r="B1153" s="83"/>
      <c r="C1153" s="84"/>
      <c r="D1153" s="85"/>
      <c r="E1153" s="85"/>
      <c r="F1153" s="86"/>
      <c r="G1153" s="86"/>
      <c r="H1153" s="87"/>
      <c r="I1153" s="86"/>
      <c r="J1153" s="87"/>
      <c r="K1153" s="86"/>
      <c r="L1153" s="86"/>
      <c r="M1153" s="87"/>
      <c r="N1153" s="86"/>
      <c r="O1153" s="87"/>
    </row>
    <row r="1154" spans="2:15">
      <c r="B1154" s="83"/>
      <c r="C1154" s="84"/>
      <c r="D1154" s="85"/>
      <c r="E1154" s="85"/>
      <c r="F1154" s="86"/>
      <c r="G1154" s="86"/>
      <c r="H1154" s="87"/>
      <c r="I1154" s="86"/>
      <c r="J1154" s="87"/>
      <c r="K1154" s="86"/>
      <c r="L1154" s="86"/>
      <c r="M1154" s="87"/>
      <c r="N1154" s="86"/>
      <c r="O1154" s="87"/>
    </row>
    <row r="1155" spans="2:15">
      <c r="B1155" s="83"/>
      <c r="C1155" s="84"/>
      <c r="D1155" s="85"/>
      <c r="E1155" s="85"/>
      <c r="F1155" s="86"/>
      <c r="G1155" s="86"/>
      <c r="H1155" s="87"/>
      <c r="I1155" s="86"/>
      <c r="J1155" s="87"/>
      <c r="K1155" s="86"/>
      <c r="L1155" s="86"/>
      <c r="M1155" s="87"/>
      <c r="N1155" s="86"/>
      <c r="O1155" s="87"/>
    </row>
    <row r="1156" spans="2:15">
      <c r="B1156" s="83"/>
      <c r="C1156" s="84"/>
      <c r="D1156" s="85"/>
      <c r="E1156" s="85"/>
      <c r="F1156" s="86"/>
      <c r="G1156" s="86"/>
      <c r="H1156" s="87"/>
      <c r="I1156" s="86"/>
      <c r="J1156" s="87"/>
      <c r="K1156" s="86"/>
      <c r="L1156" s="86"/>
      <c r="M1156" s="87"/>
      <c r="N1156" s="86"/>
      <c r="O1156" s="87"/>
    </row>
    <row r="1157" spans="2:15">
      <c r="B1157" s="83"/>
      <c r="C1157" s="84"/>
      <c r="D1157" s="85"/>
      <c r="E1157" s="85"/>
      <c r="F1157" s="86"/>
      <c r="G1157" s="86"/>
      <c r="H1157" s="87"/>
      <c r="I1157" s="86"/>
      <c r="J1157" s="87"/>
      <c r="K1157" s="86"/>
      <c r="L1157" s="86"/>
      <c r="M1157" s="87"/>
      <c r="N1157" s="86"/>
      <c r="O1157" s="87"/>
    </row>
    <row r="1158" spans="2:15">
      <c r="B1158" s="83"/>
      <c r="C1158" s="84"/>
      <c r="D1158" s="85"/>
      <c r="E1158" s="85"/>
      <c r="F1158" s="86"/>
      <c r="G1158" s="86"/>
      <c r="H1158" s="87"/>
      <c r="I1158" s="86"/>
      <c r="J1158" s="87"/>
      <c r="K1158" s="86"/>
      <c r="L1158" s="86"/>
      <c r="M1158" s="87"/>
      <c r="N1158" s="86"/>
      <c r="O1158" s="87"/>
    </row>
    <row r="1159" spans="2:15">
      <c r="B1159" s="83"/>
      <c r="C1159" s="84"/>
      <c r="D1159" s="85"/>
      <c r="E1159" s="85"/>
      <c r="F1159" s="86"/>
      <c r="G1159" s="86"/>
      <c r="H1159" s="87"/>
      <c r="I1159" s="86"/>
      <c r="J1159" s="87"/>
      <c r="K1159" s="86"/>
      <c r="L1159" s="86"/>
      <c r="M1159" s="87"/>
      <c r="N1159" s="86"/>
      <c r="O1159" s="87"/>
    </row>
    <row r="1160" spans="2:15">
      <c r="B1160" s="83"/>
      <c r="C1160" s="84"/>
      <c r="D1160" s="85"/>
      <c r="E1160" s="85"/>
      <c r="F1160" s="86"/>
      <c r="G1160" s="86"/>
      <c r="H1160" s="87"/>
      <c r="I1160" s="86"/>
      <c r="J1160" s="87"/>
      <c r="K1160" s="86"/>
      <c r="L1160" s="86"/>
      <c r="M1160" s="87"/>
      <c r="N1160" s="86"/>
      <c r="O1160" s="87"/>
    </row>
    <row r="1161" spans="2:15">
      <c r="B1161" s="83"/>
      <c r="C1161" s="84"/>
      <c r="D1161" s="85"/>
      <c r="E1161" s="85"/>
      <c r="F1161" s="86"/>
      <c r="G1161" s="86"/>
      <c r="H1161" s="87"/>
      <c r="I1161" s="86"/>
      <c r="J1161" s="87"/>
      <c r="K1161" s="86"/>
      <c r="L1161" s="86"/>
      <c r="M1161" s="87"/>
      <c r="N1161" s="86"/>
      <c r="O1161" s="87"/>
    </row>
    <row r="1162" spans="2:15">
      <c r="B1162" s="83"/>
      <c r="C1162" s="84"/>
      <c r="D1162" s="85"/>
      <c r="E1162" s="85"/>
      <c r="F1162" s="86"/>
      <c r="G1162" s="86"/>
      <c r="H1162" s="87"/>
      <c r="I1162" s="86"/>
      <c r="J1162" s="87"/>
      <c r="K1162" s="86"/>
      <c r="L1162" s="86"/>
      <c r="M1162" s="87"/>
      <c r="N1162" s="86"/>
      <c r="O1162" s="87"/>
    </row>
    <row r="1163" spans="2:15">
      <c r="B1163" s="83"/>
      <c r="C1163" s="84"/>
      <c r="D1163" s="85"/>
      <c r="E1163" s="85"/>
      <c r="F1163" s="86"/>
      <c r="G1163" s="86"/>
      <c r="H1163" s="87"/>
      <c r="I1163" s="86"/>
      <c r="J1163" s="87"/>
      <c r="K1163" s="86"/>
      <c r="L1163" s="86"/>
      <c r="M1163" s="87"/>
      <c r="N1163" s="86"/>
      <c r="O1163" s="87"/>
    </row>
    <row r="1164" spans="2:15">
      <c r="B1164" s="83"/>
      <c r="C1164" s="84"/>
      <c r="D1164" s="85"/>
      <c r="E1164" s="85"/>
      <c r="F1164" s="86"/>
      <c r="G1164" s="86"/>
      <c r="H1164" s="87"/>
      <c r="I1164" s="86"/>
      <c r="J1164" s="87"/>
      <c r="K1164" s="86"/>
      <c r="L1164" s="86"/>
      <c r="M1164" s="87"/>
      <c r="N1164" s="86"/>
      <c r="O1164" s="87"/>
    </row>
    <row r="1165" spans="2:15">
      <c r="B1165" s="83"/>
      <c r="C1165" s="84"/>
      <c r="D1165" s="85"/>
      <c r="E1165" s="85"/>
      <c r="F1165" s="86"/>
      <c r="G1165" s="86"/>
      <c r="H1165" s="87"/>
      <c r="I1165" s="86"/>
      <c r="J1165" s="87"/>
      <c r="K1165" s="86"/>
      <c r="L1165" s="86"/>
      <c r="M1165" s="87"/>
      <c r="N1165" s="86"/>
      <c r="O1165" s="87"/>
    </row>
    <row r="1166" spans="2:15">
      <c r="B1166" s="83"/>
      <c r="C1166" s="84"/>
      <c r="D1166" s="85"/>
      <c r="E1166" s="85"/>
      <c r="F1166" s="86"/>
      <c r="G1166" s="86"/>
      <c r="H1166" s="87"/>
      <c r="I1166" s="86"/>
      <c r="J1166" s="87"/>
      <c r="K1166" s="86"/>
      <c r="L1166" s="86"/>
      <c r="M1166" s="87"/>
      <c r="N1166" s="86"/>
      <c r="O1166" s="87"/>
    </row>
    <row r="1167" spans="2:15">
      <c r="B1167" s="83"/>
      <c r="C1167" s="84"/>
      <c r="D1167" s="85"/>
      <c r="E1167" s="85"/>
      <c r="F1167" s="86"/>
      <c r="G1167" s="86"/>
      <c r="H1167" s="87"/>
      <c r="I1167" s="86"/>
      <c r="J1167" s="87"/>
      <c r="K1167" s="86"/>
      <c r="L1167" s="86"/>
      <c r="M1167" s="87"/>
      <c r="N1167" s="86"/>
      <c r="O1167" s="87"/>
    </row>
    <row r="1168" spans="2:15">
      <c r="B1168" s="83"/>
      <c r="C1168" s="84"/>
      <c r="D1168" s="85"/>
      <c r="E1168" s="85"/>
      <c r="F1168" s="86"/>
      <c r="G1168" s="86"/>
      <c r="H1168" s="87"/>
      <c r="I1168" s="86"/>
      <c r="J1168" s="87"/>
      <c r="K1168" s="86"/>
      <c r="L1168" s="86"/>
      <c r="M1168" s="87"/>
      <c r="N1168" s="86"/>
      <c r="O1168" s="87"/>
    </row>
    <row r="1169" spans="2:15">
      <c r="B1169" s="83"/>
      <c r="C1169" s="84"/>
      <c r="D1169" s="85"/>
      <c r="E1169" s="85"/>
      <c r="F1169" s="86"/>
      <c r="G1169" s="86"/>
      <c r="H1169" s="87"/>
      <c r="I1169" s="86"/>
      <c r="J1169" s="87"/>
      <c r="K1169" s="86"/>
      <c r="L1169" s="86"/>
      <c r="M1169" s="87"/>
      <c r="N1169" s="86"/>
      <c r="O1169" s="87"/>
    </row>
    <row r="1170" spans="2:15">
      <c r="B1170" s="83"/>
      <c r="C1170" s="84"/>
      <c r="D1170" s="85"/>
      <c r="E1170" s="85"/>
      <c r="F1170" s="86"/>
      <c r="G1170" s="86"/>
      <c r="H1170" s="87"/>
      <c r="I1170" s="86"/>
      <c r="J1170" s="87"/>
      <c r="K1170" s="86"/>
      <c r="L1170" s="86"/>
      <c r="M1170" s="87"/>
      <c r="N1170" s="86"/>
      <c r="O1170" s="87"/>
    </row>
    <row r="1171" spans="2:15">
      <c r="B1171" s="83"/>
      <c r="C1171" s="84"/>
      <c r="D1171" s="85"/>
      <c r="E1171" s="85"/>
      <c r="F1171" s="86"/>
      <c r="G1171" s="86"/>
      <c r="H1171" s="87"/>
      <c r="I1171" s="86"/>
      <c r="J1171" s="87"/>
      <c r="K1171" s="86"/>
      <c r="L1171" s="86"/>
      <c r="M1171" s="87"/>
      <c r="N1171" s="86"/>
      <c r="O1171" s="87"/>
    </row>
    <row r="1172" spans="2:15">
      <c r="B1172" s="83"/>
      <c r="C1172" s="84"/>
      <c r="D1172" s="85"/>
      <c r="E1172" s="85"/>
      <c r="F1172" s="86"/>
      <c r="G1172" s="86"/>
      <c r="H1172" s="87"/>
      <c r="I1172" s="86"/>
      <c r="J1172" s="87"/>
      <c r="K1172" s="86"/>
      <c r="L1172" s="86"/>
      <c r="M1172" s="87"/>
      <c r="N1172" s="86"/>
      <c r="O1172" s="87"/>
    </row>
    <row r="1173" spans="2:15">
      <c r="B1173" s="83"/>
      <c r="C1173" s="84"/>
      <c r="D1173" s="85"/>
      <c r="E1173" s="85"/>
      <c r="F1173" s="86"/>
      <c r="G1173" s="86"/>
      <c r="H1173" s="87"/>
      <c r="I1173" s="86"/>
      <c r="J1173" s="87"/>
      <c r="K1173" s="86"/>
      <c r="L1173" s="86"/>
      <c r="M1173" s="87"/>
      <c r="N1173" s="86"/>
      <c r="O1173" s="87"/>
    </row>
    <row r="1174" spans="2:15">
      <c r="B1174" s="83"/>
      <c r="C1174" s="84"/>
      <c r="D1174" s="85"/>
      <c r="E1174" s="85"/>
      <c r="F1174" s="86"/>
      <c r="G1174" s="86"/>
      <c r="H1174" s="87"/>
      <c r="I1174" s="86"/>
      <c r="J1174" s="87"/>
      <c r="K1174" s="86"/>
      <c r="L1174" s="86"/>
      <c r="M1174" s="87"/>
      <c r="N1174" s="86"/>
      <c r="O1174" s="87"/>
    </row>
    <row r="1175" spans="2:15">
      <c r="B1175" s="83"/>
      <c r="C1175" s="84"/>
      <c r="D1175" s="85"/>
      <c r="E1175" s="85"/>
      <c r="F1175" s="86"/>
      <c r="G1175" s="86"/>
      <c r="H1175" s="87"/>
      <c r="I1175" s="86"/>
      <c r="J1175" s="87"/>
      <c r="K1175" s="86"/>
      <c r="L1175" s="86"/>
      <c r="M1175" s="87"/>
      <c r="N1175" s="86"/>
      <c r="O1175" s="87"/>
    </row>
    <row r="1176" spans="2:15">
      <c r="B1176" s="83"/>
      <c r="C1176" s="84"/>
      <c r="D1176" s="85"/>
      <c r="E1176" s="85"/>
      <c r="F1176" s="86"/>
      <c r="G1176" s="86"/>
      <c r="H1176" s="87"/>
      <c r="I1176" s="86"/>
      <c r="J1176" s="87"/>
      <c r="K1176" s="86"/>
      <c r="L1176" s="86"/>
      <c r="M1176" s="87"/>
      <c r="N1176" s="86"/>
      <c r="O1176" s="87"/>
    </row>
    <row r="1177" spans="2:15">
      <c r="B1177" s="83"/>
      <c r="C1177" s="84"/>
      <c r="D1177" s="85"/>
      <c r="E1177" s="85"/>
      <c r="F1177" s="86"/>
      <c r="G1177" s="86"/>
      <c r="H1177" s="87"/>
      <c r="I1177" s="86"/>
      <c r="J1177" s="87"/>
      <c r="K1177" s="86"/>
      <c r="L1177" s="86"/>
      <c r="M1177" s="87"/>
      <c r="N1177" s="86"/>
      <c r="O1177" s="87"/>
    </row>
    <row r="1178" spans="2:15">
      <c r="B1178" s="83"/>
      <c r="C1178" s="84"/>
      <c r="D1178" s="85"/>
      <c r="E1178" s="85"/>
      <c r="F1178" s="86"/>
      <c r="G1178" s="86"/>
      <c r="H1178" s="87"/>
      <c r="I1178" s="86"/>
      <c r="J1178" s="87"/>
      <c r="K1178" s="86"/>
      <c r="L1178" s="86"/>
      <c r="M1178" s="87"/>
      <c r="N1178" s="86"/>
      <c r="O1178" s="87"/>
    </row>
    <row r="1179" spans="2:15">
      <c r="B1179" s="83"/>
      <c r="C1179" s="84"/>
      <c r="D1179" s="85"/>
      <c r="E1179" s="85"/>
      <c r="F1179" s="86"/>
      <c r="G1179" s="86"/>
      <c r="H1179" s="87"/>
      <c r="I1179" s="86"/>
      <c r="J1179" s="87"/>
      <c r="K1179" s="86"/>
      <c r="L1179" s="86"/>
      <c r="M1179" s="87"/>
      <c r="N1179" s="86"/>
      <c r="O1179" s="87"/>
    </row>
    <row r="1180" spans="2:15">
      <c r="B1180" s="83"/>
      <c r="C1180" s="84"/>
      <c r="D1180" s="85"/>
      <c r="E1180" s="85"/>
      <c r="F1180" s="86"/>
      <c r="G1180" s="86"/>
      <c r="H1180" s="87"/>
      <c r="I1180" s="86"/>
      <c r="J1180" s="87"/>
      <c r="K1180" s="86"/>
      <c r="L1180" s="86"/>
      <c r="M1180" s="87"/>
      <c r="N1180" s="86"/>
      <c r="O1180" s="87"/>
    </row>
    <row r="1181" spans="2:15">
      <c r="B1181" s="83"/>
      <c r="C1181" s="84"/>
      <c r="D1181" s="85"/>
      <c r="E1181" s="85"/>
      <c r="F1181" s="86"/>
      <c r="G1181" s="86"/>
      <c r="H1181" s="87"/>
      <c r="I1181" s="86"/>
      <c r="J1181" s="87"/>
      <c r="K1181" s="86"/>
      <c r="L1181" s="86"/>
      <c r="M1181" s="87"/>
      <c r="N1181" s="86"/>
      <c r="O1181" s="87"/>
    </row>
    <row r="1182" spans="2:15">
      <c r="B1182" s="83"/>
      <c r="C1182" s="84"/>
      <c r="D1182" s="85"/>
      <c r="E1182" s="85"/>
      <c r="F1182" s="86"/>
      <c r="G1182" s="86"/>
      <c r="H1182" s="87"/>
      <c r="I1182" s="86"/>
      <c r="J1182" s="87"/>
      <c r="K1182" s="86"/>
      <c r="L1182" s="86"/>
      <c r="M1182" s="87"/>
      <c r="N1182" s="86"/>
      <c r="O1182" s="87"/>
    </row>
    <row r="1183" spans="2:15">
      <c r="B1183" s="83"/>
      <c r="C1183" s="84"/>
      <c r="D1183" s="85"/>
      <c r="E1183" s="85"/>
      <c r="F1183" s="86"/>
      <c r="G1183" s="86"/>
      <c r="H1183" s="87"/>
      <c r="I1183" s="86"/>
      <c r="J1183" s="87"/>
      <c r="K1183" s="86"/>
      <c r="L1183" s="86"/>
      <c r="M1183" s="87"/>
      <c r="N1183" s="86"/>
      <c r="O1183" s="87"/>
    </row>
    <row r="1184" spans="2:15">
      <c r="B1184" s="83"/>
      <c r="C1184" s="84"/>
      <c r="D1184" s="85"/>
      <c r="E1184" s="85"/>
      <c r="F1184" s="86"/>
      <c r="G1184" s="86"/>
      <c r="H1184" s="87"/>
      <c r="I1184" s="86"/>
      <c r="J1184" s="87"/>
      <c r="K1184" s="86"/>
      <c r="L1184" s="86"/>
      <c r="M1184" s="87"/>
      <c r="N1184" s="86"/>
      <c r="O1184" s="87"/>
    </row>
    <row r="1185" spans="2:15">
      <c r="B1185" s="83"/>
      <c r="C1185" s="84"/>
      <c r="D1185" s="85"/>
      <c r="E1185" s="85"/>
      <c r="F1185" s="86"/>
      <c r="G1185" s="86"/>
      <c r="H1185" s="87"/>
      <c r="I1185" s="86"/>
      <c r="J1185" s="87"/>
      <c r="K1185" s="86"/>
      <c r="L1185" s="86"/>
      <c r="M1185" s="87"/>
      <c r="N1185" s="86"/>
      <c r="O1185" s="87"/>
    </row>
    <row r="1186" spans="2:15">
      <c r="B1186" s="83"/>
      <c r="C1186" s="84"/>
      <c r="D1186" s="85"/>
      <c r="E1186" s="85"/>
      <c r="F1186" s="86"/>
      <c r="G1186" s="86"/>
      <c r="H1186" s="87"/>
      <c r="I1186" s="86"/>
      <c r="J1186" s="87"/>
      <c r="K1186" s="86"/>
      <c r="L1186" s="86"/>
      <c r="M1186" s="87"/>
      <c r="N1186" s="86"/>
      <c r="O1186" s="87"/>
    </row>
    <row r="1187" spans="2:15">
      <c r="B1187" s="83"/>
      <c r="C1187" s="84"/>
      <c r="D1187" s="85"/>
      <c r="E1187" s="85"/>
      <c r="F1187" s="86"/>
      <c r="G1187" s="86"/>
      <c r="H1187" s="87"/>
      <c r="I1187" s="86"/>
      <c r="J1187" s="87"/>
      <c r="K1187" s="86"/>
      <c r="L1187" s="86"/>
      <c r="M1187" s="87"/>
      <c r="N1187" s="86"/>
      <c r="O1187" s="87"/>
    </row>
    <row r="1188" spans="2:15">
      <c r="B1188" s="83"/>
      <c r="C1188" s="84"/>
      <c r="D1188" s="85"/>
      <c r="E1188" s="85"/>
      <c r="F1188" s="86"/>
      <c r="G1188" s="86"/>
      <c r="H1188" s="87"/>
      <c r="I1188" s="86"/>
      <c r="J1188" s="87"/>
      <c r="K1188" s="86"/>
      <c r="L1188" s="86"/>
      <c r="M1188" s="87"/>
      <c r="N1188" s="86"/>
      <c r="O1188" s="87"/>
    </row>
    <row r="1189" spans="2:15">
      <c r="B1189" s="83"/>
      <c r="C1189" s="84"/>
      <c r="D1189" s="85"/>
      <c r="E1189" s="85"/>
      <c r="F1189" s="86"/>
      <c r="G1189" s="86"/>
      <c r="H1189" s="87"/>
      <c r="I1189" s="86"/>
      <c r="J1189" s="87"/>
      <c r="K1189" s="86"/>
      <c r="L1189" s="86"/>
      <c r="M1189" s="87"/>
      <c r="N1189" s="86"/>
      <c r="O1189" s="87"/>
    </row>
    <row r="1190" spans="2:15">
      <c r="B1190" s="83"/>
      <c r="C1190" s="84"/>
      <c r="D1190" s="85"/>
      <c r="E1190" s="85"/>
      <c r="F1190" s="86"/>
      <c r="G1190" s="86"/>
      <c r="H1190" s="87"/>
      <c r="I1190" s="86"/>
      <c r="J1190" s="87"/>
      <c r="K1190" s="86"/>
      <c r="L1190" s="86"/>
      <c r="M1190" s="87"/>
      <c r="N1190" s="86"/>
      <c r="O1190" s="87"/>
    </row>
    <row r="1191" spans="2:15">
      <c r="B1191" s="83"/>
      <c r="C1191" s="84"/>
      <c r="D1191" s="85"/>
      <c r="E1191" s="85"/>
      <c r="F1191" s="86"/>
      <c r="G1191" s="86"/>
      <c r="H1191" s="87"/>
      <c r="I1191" s="86"/>
      <c r="J1191" s="87"/>
      <c r="K1191" s="86"/>
      <c r="L1191" s="86"/>
      <c r="M1191" s="87"/>
      <c r="N1191" s="86"/>
      <c r="O1191" s="87"/>
    </row>
    <row r="1192" spans="2:15">
      <c r="B1192" s="83"/>
      <c r="C1192" s="84"/>
      <c r="D1192" s="85"/>
      <c r="E1192" s="85"/>
      <c r="F1192" s="86"/>
      <c r="G1192" s="86"/>
      <c r="H1192" s="87"/>
      <c r="I1192" s="86"/>
      <c r="J1192" s="87"/>
      <c r="K1192" s="86"/>
      <c r="L1192" s="86"/>
      <c r="M1192" s="87"/>
      <c r="N1192" s="86"/>
      <c r="O1192" s="87"/>
    </row>
    <row r="1193" spans="2:15">
      <c r="B1193" s="83"/>
      <c r="C1193" s="84"/>
      <c r="D1193" s="85"/>
      <c r="E1193" s="85"/>
      <c r="F1193" s="86"/>
      <c r="G1193" s="86"/>
      <c r="H1193" s="87"/>
      <c r="I1193" s="86"/>
      <c r="J1193" s="87"/>
      <c r="K1193" s="86"/>
      <c r="L1193" s="86"/>
      <c r="M1193" s="87"/>
      <c r="N1193" s="86"/>
      <c r="O1193" s="87"/>
    </row>
    <row r="1194" spans="2:15">
      <c r="B1194" s="83"/>
      <c r="C1194" s="84"/>
      <c r="D1194" s="85"/>
      <c r="E1194" s="85"/>
      <c r="F1194" s="86"/>
      <c r="G1194" s="86"/>
      <c r="H1194" s="87"/>
      <c r="I1194" s="86"/>
      <c r="J1194" s="87"/>
      <c r="K1194" s="86"/>
      <c r="L1194" s="86"/>
      <c r="M1194" s="87"/>
      <c r="N1194" s="86"/>
      <c r="O1194" s="87"/>
    </row>
    <row r="1195" spans="2:15">
      <c r="B1195" s="83"/>
      <c r="C1195" s="84"/>
      <c r="D1195" s="85"/>
      <c r="E1195" s="85"/>
      <c r="F1195" s="86"/>
      <c r="G1195" s="86"/>
      <c r="H1195" s="87"/>
      <c r="I1195" s="86"/>
      <c r="J1195" s="87"/>
      <c r="K1195" s="86"/>
      <c r="L1195" s="86"/>
      <c r="M1195" s="87"/>
      <c r="N1195" s="86"/>
      <c r="O1195" s="87"/>
    </row>
    <row r="1196" spans="2:15">
      <c r="B1196" s="83"/>
      <c r="C1196" s="84"/>
      <c r="D1196" s="85"/>
      <c r="E1196" s="85"/>
      <c r="F1196" s="86"/>
      <c r="G1196" s="86"/>
      <c r="H1196" s="87"/>
      <c r="I1196" s="86"/>
      <c r="J1196" s="87"/>
      <c r="K1196" s="86"/>
      <c r="L1196" s="86"/>
      <c r="M1196" s="87"/>
      <c r="N1196" s="86"/>
      <c r="O1196" s="87"/>
    </row>
    <row r="1197" spans="2:15">
      <c r="B1197" s="83"/>
      <c r="C1197" s="84"/>
      <c r="D1197" s="85"/>
      <c r="E1197" s="85"/>
      <c r="F1197" s="86"/>
      <c r="G1197" s="86"/>
      <c r="H1197" s="87"/>
      <c r="I1197" s="86"/>
      <c r="J1197" s="87"/>
      <c r="K1197" s="86"/>
      <c r="L1197" s="86"/>
      <c r="M1197" s="87"/>
      <c r="N1197" s="86"/>
      <c r="O1197" s="87"/>
    </row>
    <row r="1198" spans="2:15">
      <c r="B1198" s="83"/>
      <c r="C1198" s="84"/>
      <c r="D1198" s="85"/>
      <c r="E1198" s="85"/>
      <c r="F1198" s="86"/>
      <c r="G1198" s="86"/>
      <c r="H1198" s="87"/>
      <c r="I1198" s="86"/>
      <c r="J1198" s="87"/>
      <c r="K1198" s="86"/>
      <c r="L1198" s="86"/>
      <c r="M1198" s="87"/>
      <c r="N1198" s="86"/>
      <c r="O1198" s="87"/>
    </row>
    <row r="1199" spans="2:15">
      <c r="B1199" s="83"/>
      <c r="C1199" s="84"/>
      <c r="D1199" s="85"/>
      <c r="E1199" s="85"/>
      <c r="F1199" s="86"/>
      <c r="G1199" s="86"/>
      <c r="H1199" s="87"/>
      <c r="I1199" s="86"/>
      <c r="J1199" s="87"/>
      <c r="K1199" s="86"/>
      <c r="L1199" s="86"/>
      <c r="M1199" s="87"/>
      <c r="N1199" s="86"/>
      <c r="O1199" s="87"/>
    </row>
    <row r="1200" spans="2:15">
      <c r="B1200" s="83"/>
      <c r="C1200" s="84"/>
      <c r="D1200" s="85"/>
      <c r="E1200" s="85"/>
      <c r="F1200" s="86"/>
      <c r="G1200" s="86"/>
      <c r="H1200" s="87"/>
      <c r="I1200" s="86"/>
      <c r="J1200" s="87"/>
      <c r="K1200" s="86"/>
      <c r="L1200" s="86"/>
      <c r="M1200" s="87"/>
      <c r="N1200" s="86"/>
      <c r="O1200" s="87"/>
    </row>
    <row r="1201" spans="2:15">
      <c r="B1201" s="83"/>
      <c r="C1201" s="84"/>
      <c r="D1201" s="85"/>
      <c r="E1201" s="85"/>
      <c r="F1201" s="86"/>
      <c r="G1201" s="86"/>
      <c r="H1201" s="87"/>
      <c r="I1201" s="86"/>
      <c r="J1201" s="87"/>
      <c r="K1201" s="86"/>
      <c r="L1201" s="86"/>
      <c r="M1201" s="87"/>
      <c r="N1201" s="86"/>
      <c r="O1201" s="87"/>
    </row>
    <row r="1202" spans="2:15">
      <c r="B1202" s="83"/>
      <c r="C1202" s="84"/>
      <c r="D1202" s="85"/>
      <c r="E1202" s="85"/>
      <c r="F1202" s="86"/>
      <c r="G1202" s="86"/>
      <c r="H1202" s="87"/>
      <c r="I1202" s="86"/>
      <c r="J1202" s="87"/>
      <c r="K1202" s="86"/>
      <c r="L1202" s="86"/>
      <c r="M1202" s="87"/>
      <c r="N1202" s="86"/>
      <c r="O1202" s="87"/>
    </row>
    <row r="1203" spans="2:15">
      <c r="B1203" s="83"/>
      <c r="C1203" s="84"/>
      <c r="D1203" s="85"/>
      <c r="E1203" s="85"/>
      <c r="F1203" s="86"/>
      <c r="G1203" s="86"/>
      <c r="H1203" s="87"/>
      <c r="I1203" s="86"/>
      <c r="J1203" s="87"/>
      <c r="K1203" s="86"/>
      <c r="L1203" s="86"/>
      <c r="M1203" s="87"/>
      <c r="N1203" s="86"/>
      <c r="O1203" s="87"/>
    </row>
    <row r="1204" spans="2:15">
      <c r="B1204" s="83"/>
      <c r="C1204" s="84"/>
      <c r="D1204" s="85"/>
      <c r="E1204" s="85"/>
      <c r="F1204" s="86"/>
      <c r="G1204" s="86"/>
      <c r="H1204" s="87"/>
      <c r="I1204" s="86"/>
      <c r="J1204" s="87"/>
      <c r="K1204" s="86"/>
      <c r="L1204" s="86"/>
      <c r="M1204" s="87"/>
      <c r="N1204" s="86"/>
      <c r="O1204" s="87"/>
    </row>
    <row r="1205" spans="2:15">
      <c r="B1205" s="83"/>
      <c r="C1205" s="84"/>
      <c r="D1205" s="85"/>
      <c r="E1205" s="85"/>
      <c r="F1205" s="86"/>
      <c r="G1205" s="86"/>
      <c r="H1205" s="87"/>
      <c r="I1205" s="86"/>
      <c r="J1205" s="87"/>
      <c r="K1205" s="86"/>
      <c r="L1205" s="86"/>
      <c r="M1205" s="87"/>
      <c r="N1205" s="86"/>
      <c r="O1205" s="87"/>
    </row>
    <row r="1206" spans="2:15">
      <c r="B1206" s="83"/>
      <c r="C1206" s="84"/>
      <c r="D1206" s="85"/>
      <c r="E1206" s="85"/>
      <c r="F1206" s="86"/>
      <c r="G1206" s="86"/>
      <c r="H1206" s="87"/>
      <c r="I1206" s="86"/>
      <c r="J1206" s="87"/>
      <c r="K1206" s="86"/>
      <c r="L1206" s="86"/>
      <c r="M1206" s="87"/>
      <c r="N1206" s="86"/>
      <c r="O1206" s="87"/>
    </row>
    <row r="1207" spans="2:15">
      <c r="B1207" s="83"/>
      <c r="C1207" s="84"/>
      <c r="D1207" s="85"/>
      <c r="E1207" s="85"/>
      <c r="F1207" s="86"/>
      <c r="G1207" s="86"/>
      <c r="H1207" s="87"/>
      <c r="I1207" s="86"/>
      <c r="J1207" s="87"/>
      <c r="K1207" s="86"/>
      <c r="L1207" s="86"/>
      <c r="M1207" s="87"/>
      <c r="N1207" s="86"/>
      <c r="O1207" s="87"/>
    </row>
    <row r="1208" spans="2:15">
      <c r="B1208" s="83"/>
      <c r="C1208" s="84"/>
      <c r="D1208" s="85"/>
      <c r="E1208" s="85"/>
      <c r="F1208" s="86"/>
      <c r="G1208" s="86"/>
      <c r="H1208" s="87"/>
      <c r="I1208" s="86"/>
      <c r="J1208" s="87"/>
      <c r="K1208" s="86"/>
      <c r="L1208" s="86"/>
      <c r="M1208" s="87"/>
      <c r="N1208" s="86"/>
      <c r="O1208" s="87"/>
    </row>
    <row r="1209" spans="2:15">
      <c r="B1209" s="83"/>
      <c r="C1209" s="84"/>
      <c r="D1209" s="85"/>
      <c r="E1209" s="85"/>
      <c r="F1209" s="86"/>
      <c r="G1209" s="86"/>
      <c r="H1209" s="87"/>
      <c r="I1209" s="86"/>
      <c r="J1209" s="87"/>
      <c r="K1209" s="86"/>
      <c r="L1209" s="86"/>
      <c r="M1209" s="87"/>
      <c r="N1209" s="86"/>
      <c r="O1209" s="87"/>
    </row>
    <row r="1210" spans="2:15">
      <c r="B1210" s="83"/>
      <c r="C1210" s="84"/>
      <c r="D1210" s="85"/>
      <c r="E1210" s="85"/>
      <c r="F1210" s="86"/>
      <c r="G1210" s="86"/>
      <c r="H1210" s="87"/>
      <c r="I1210" s="86"/>
      <c r="J1210" s="87"/>
      <c r="K1210" s="86"/>
      <c r="L1210" s="86"/>
      <c r="M1210" s="87"/>
      <c r="N1210" s="86"/>
      <c r="O1210" s="87"/>
    </row>
    <row r="1211" spans="2:15">
      <c r="B1211" s="83"/>
      <c r="C1211" s="84"/>
      <c r="D1211" s="85"/>
      <c r="E1211" s="85"/>
      <c r="F1211" s="86"/>
      <c r="G1211" s="86"/>
      <c r="H1211" s="87"/>
      <c r="I1211" s="86"/>
      <c r="J1211" s="87"/>
      <c r="K1211" s="86"/>
      <c r="L1211" s="86"/>
      <c r="M1211" s="87"/>
      <c r="N1211" s="86"/>
      <c r="O1211" s="87"/>
    </row>
    <row r="1212" spans="2:15">
      <c r="B1212" s="83"/>
      <c r="C1212" s="84"/>
      <c r="D1212" s="85"/>
      <c r="E1212" s="85"/>
      <c r="F1212" s="86"/>
      <c r="G1212" s="86"/>
      <c r="H1212" s="87"/>
      <c r="I1212" s="86"/>
      <c r="J1212" s="87"/>
      <c r="K1212" s="86"/>
      <c r="L1212" s="86"/>
      <c r="M1212" s="87"/>
      <c r="N1212" s="86"/>
      <c r="O1212" s="87"/>
    </row>
    <row r="1213" spans="2:15">
      <c r="B1213" s="83"/>
      <c r="C1213" s="84"/>
      <c r="D1213" s="85"/>
      <c r="E1213" s="85"/>
      <c r="F1213" s="86"/>
      <c r="G1213" s="86"/>
      <c r="H1213" s="87"/>
      <c r="I1213" s="86"/>
      <c r="J1213" s="87"/>
      <c r="K1213" s="86"/>
      <c r="L1213" s="86"/>
      <c r="M1213" s="87"/>
      <c r="N1213" s="86"/>
      <c r="O1213" s="87"/>
    </row>
    <row r="1214" spans="2:15">
      <c r="B1214" s="83"/>
      <c r="C1214" s="84"/>
      <c r="D1214" s="85"/>
      <c r="E1214" s="85"/>
      <c r="F1214" s="86"/>
      <c r="G1214" s="86"/>
      <c r="H1214" s="87"/>
      <c r="I1214" s="86"/>
      <c r="J1214" s="87"/>
      <c r="K1214" s="86"/>
      <c r="L1214" s="86"/>
      <c r="M1214" s="87"/>
      <c r="N1214" s="86"/>
      <c r="O1214" s="87"/>
    </row>
    <row r="1215" spans="2:15">
      <c r="B1215" s="83"/>
      <c r="C1215" s="84"/>
      <c r="D1215" s="85"/>
      <c r="E1215" s="85"/>
      <c r="F1215" s="86"/>
      <c r="G1215" s="86"/>
      <c r="H1215" s="87"/>
      <c r="I1215" s="86"/>
      <c r="J1215" s="87"/>
      <c r="K1215" s="86"/>
      <c r="L1215" s="86"/>
      <c r="M1215" s="87"/>
      <c r="N1215" s="86"/>
      <c r="O1215" s="87"/>
    </row>
    <row r="1216" spans="2:15">
      <c r="B1216" s="83"/>
      <c r="C1216" s="84"/>
      <c r="D1216" s="85"/>
      <c r="E1216" s="85"/>
      <c r="F1216" s="86"/>
      <c r="G1216" s="86"/>
      <c r="H1216" s="87"/>
      <c r="I1216" s="86"/>
      <c r="J1216" s="87"/>
      <c r="K1216" s="86"/>
      <c r="L1216" s="86"/>
      <c r="M1216" s="87"/>
      <c r="N1216" s="86"/>
      <c r="O1216" s="87"/>
    </row>
    <row r="1217" spans="2:15">
      <c r="B1217" s="83"/>
      <c r="C1217" s="84"/>
      <c r="D1217" s="85"/>
      <c r="E1217" s="85"/>
      <c r="F1217" s="86"/>
      <c r="G1217" s="86"/>
      <c r="H1217" s="87"/>
      <c r="I1217" s="86"/>
      <c r="J1217" s="87"/>
      <c r="K1217" s="86"/>
      <c r="L1217" s="86"/>
      <c r="M1217" s="87"/>
      <c r="N1217" s="86"/>
      <c r="O1217" s="87"/>
    </row>
    <row r="1218" spans="2:15">
      <c r="B1218" s="83"/>
      <c r="C1218" s="84"/>
      <c r="D1218" s="85"/>
      <c r="E1218" s="85"/>
      <c r="F1218" s="86"/>
      <c r="G1218" s="86"/>
      <c r="H1218" s="87"/>
      <c r="I1218" s="86"/>
      <c r="J1218" s="87"/>
      <c r="K1218" s="86"/>
      <c r="L1218" s="86"/>
      <c r="M1218" s="87"/>
      <c r="N1218" s="86"/>
      <c r="O1218" s="87"/>
    </row>
    <row r="1219" spans="2:15">
      <c r="B1219" s="83"/>
      <c r="C1219" s="84"/>
      <c r="D1219" s="85"/>
      <c r="E1219" s="85"/>
      <c r="F1219" s="86"/>
      <c r="G1219" s="86"/>
      <c r="H1219" s="87"/>
      <c r="I1219" s="86"/>
      <c r="J1219" s="87"/>
      <c r="K1219" s="86"/>
      <c r="L1219" s="86"/>
      <c r="M1219" s="87"/>
      <c r="N1219" s="86"/>
      <c r="O1219" s="87"/>
    </row>
    <row r="1220" spans="2:15">
      <c r="B1220" s="83"/>
      <c r="C1220" s="84"/>
      <c r="D1220" s="85"/>
      <c r="E1220" s="85"/>
      <c r="F1220" s="86"/>
      <c r="G1220" s="86"/>
      <c r="H1220" s="87"/>
      <c r="I1220" s="86"/>
      <c r="J1220" s="87"/>
      <c r="K1220" s="86"/>
      <c r="L1220" s="86"/>
      <c r="M1220" s="87"/>
      <c r="N1220" s="86"/>
      <c r="O1220" s="87"/>
    </row>
    <row r="1221" spans="2:15">
      <c r="B1221" s="83"/>
      <c r="C1221" s="84"/>
      <c r="D1221" s="85"/>
      <c r="E1221" s="85"/>
      <c r="F1221" s="86"/>
      <c r="G1221" s="86"/>
      <c r="H1221" s="87"/>
      <c r="I1221" s="86"/>
      <c r="J1221" s="87"/>
      <c r="K1221" s="86"/>
      <c r="L1221" s="86"/>
      <c r="M1221" s="87"/>
      <c r="N1221" s="86"/>
      <c r="O1221" s="87"/>
    </row>
    <row r="1222" spans="2:15">
      <c r="B1222" s="83"/>
      <c r="C1222" s="84"/>
      <c r="D1222" s="85"/>
      <c r="E1222" s="85"/>
      <c r="F1222" s="86"/>
      <c r="G1222" s="86"/>
      <c r="H1222" s="87"/>
      <c r="I1222" s="86"/>
      <c r="J1222" s="87"/>
      <c r="K1222" s="86"/>
      <c r="L1222" s="86"/>
      <c r="M1222" s="87"/>
      <c r="N1222" s="86"/>
      <c r="O1222" s="87"/>
    </row>
    <row r="1223" spans="2:15">
      <c r="B1223" s="83"/>
      <c r="C1223" s="84"/>
      <c r="D1223" s="85"/>
      <c r="E1223" s="85"/>
      <c r="F1223" s="86"/>
      <c r="G1223" s="86"/>
      <c r="H1223" s="87"/>
      <c r="I1223" s="86"/>
      <c r="J1223" s="87"/>
      <c r="K1223" s="86"/>
      <c r="L1223" s="86"/>
      <c r="M1223" s="87"/>
      <c r="N1223" s="86"/>
      <c r="O1223" s="87"/>
    </row>
    <row r="1224" spans="2:15">
      <c r="B1224" s="83"/>
      <c r="C1224" s="84"/>
      <c r="D1224" s="85"/>
      <c r="E1224" s="85"/>
      <c r="F1224" s="86"/>
      <c r="G1224" s="86"/>
      <c r="H1224" s="87"/>
      <c r="I1224" s="86"/>
      <c r="J1224" s="87"/>
      <c r="K1224" s="86"/>
      <c r="L1224" s="86"/>
      <c r="M1224" s="87"/>
      <c r="N1224" s="86"/>
      <c r="O1224" s="87"/>
    </row>
    <row r="1225" spans="2:15">
      <c r="B1225" s="83"/>
      <c r="C1225" s="84"/>
      <c r="D1225" s="85"/>
      <c r="E1225" s="85"/>
      <c r="F1225" s="86"/>
      <c r="G1225" s="86"/>
      <c r="H1225" s="87"/>
      <c r="I1225" s="86"/>
      <c r="J1225" s="87"/>
      <c r="K1225" s="86"/>
      <c r="L1225" s="86"/>
      <c r="M1225" s="87"/>
      <c r="N1225" s="86"/>
      <c r="O1225" s="87"/>
    </row>
    <row r="1226" spans="2:15">
      <c r="B1226" s="83"/>
      <c r="C1226" s="84"/>
      <c r="D1226" s="85"/>
      <c r="E1226" s="85"/>
      <c r="F1226" s="86"/>
      <c r="G1226" s="86"/>
      <c r="H1226" s="87"/>
      <c r="I1226" s="86"/>
      <c r="J1226" s="87"/>
      <c r="K1226" s="86"/>
      <c r="L1226" s="86"/>
      <c r="M1226" s="87"/>
      <c r="N1226" s="86"/>
      <c r="O1226" s="87"/>
    </row>
    <row r="1227" spans="2:15">
      <c r="B1227" s="83"/>
      <c r="C1227" s="84"/>
      <c r="D1227" s="85"/>
      <c r="E1227" s="85"/>
      <c r="F1227" s="86"/>
      <c r="G1227" s="86"/>
      <c r="H1227" s="87"/>
      <c r="I1227" s="86"/>
      <c r="J1227" s="87"/>
      <c r="K1227" s="86"/>
      <c r="L1227" s="86"/>
      <c r="M1227" s="87"/>
      <c r="N1227" s="86"/>
      <c r="O1227" s="87"/>
    </row>
    <row r="1228" spans="2:15">
      <c r="B1228" s="83"/>
      <c r="C1228" s="84"/>
      <c r="D1228" s="85"/>
      <c r="E1228" s="85"/>
      <c r="F1228" s="86"/>
      <c r="G1228" s="86"/>
      <c r="H1228" s="87"/>
      <c r="I1228" s="86"/>
      <c r="J1228" s="87"/>
      <c r="K1228" s="86"/>
      <c r="L1228" s="86"/>
      <c r="M1228" s="87"/>
      <c r="N1228" s="86"/>
      <c r="O1228" s="87"/>
    </row>
    <row r="1229" spans="2:15">
      <c r="B1229" s="83"/>
      <c r="C1229" s="84"/>
      <c r="D1229" s="85"/>
      <c r="E1229" s="85"/>
      <c r="F1229" s="86"/>
      <c r="G1229" s="86"/>
      <c r="H1229" s="87"/>
      <c r="I1229" s="86"/>
      <c r="J1229" s="87"/>
      <c r="K1229" s="86"/>
      <c r="L1229" s="86"/>
      <c r="M1229" s="87"/>
      <c r="N1229" s="86"/>
      <c r="O1229" s="87"/>
    </row>
    <row r="1230" spans="2:15">
      <c r="B1230" s="83"/>
      <c r="C1230" s="84"/>
      <c r="D1230" s="85"/>
      <c r="E1230" s="85"/>
      <c r="F1230" s="86"/>
      <c r="G1230" s="86"/>
      <c r="H1230" s="87"/>
      <c r="I1230" s="86"/>
      <c r="J1230" s="87"/>
      <c r="K1230" s="86"/>
      <c r="L1230" s="86"/>
      <c r="M1230" s="87"/>
      <c r="N1230" s="86"/>
      <c r="O1230" s="87"/>
    </row>
    <row r="1231" spans="2:15">
      <c r="B1231" s="83"/>
      <c r="C1231" s="84"/>
      <c r="D1231" s="85"/>
      <c r="E1231" s="85"/>
      <c r="F1231" s="86"/>
      <c r="G1231" s="86"/>
      <c r="H1231" s="87"/>
      <c r="I1231" s="86"/>
      <c r="J1231" s="87"/>
      <c r="K1231" s="86"/>
      <c r="L1231" s="86"/>
      <c r="M1231" s="87"/>
      <c r="N1231" s="86"/>
      <c r="O1231" s="87"/>
    </row>
    <row r="1232" spans="2:15">
      <c r="B1232" s="83"/>
      <c r="C1232" s="84"/>
      <c r="D1232" s="85"/>
      <c r="E1232" s="85"/>
      <c r="F1232" s="86"/>
      <c r="G1232" s="86"/>
      <c r="H1232" s="87"/>
      <c r="I1232" s="86"/>
      <c r="J1232" s="87"/>
      <c r="K1232" s="86"/>
      <c r="L1232" s="86"/>
      <c r="M1232" s="87"/>
      <c r="N1232" s="86"/>
      <c r="O1232" s="87"/>
    </row>
    <row r="1233" spans="2:15">
      <c r="B1233" s="83"/>
      <c r="C1233" s="84"/>
      <c r="D1233" s="85"/>
      <c r="E1233" s="85"/>
      <c r="F1233" s="86"/>
      <c r="G1233" s="86"/>
      <c r="H1233" s="87"/>
      <c r="I1233" s="86"/>
      <c r="J1233" s="87"/>
      <c r="K1233" s="86"/>
      <c r="L1233" s="86"/>
      <c r="M1233" s="87"/>
      <c r="N1233" s="86"/>
      <c r="O1233" s="87"/>
    </row>
    <row r="1234" spans="2:15">
      <c r="B1234" s="83"/>
      <c r="C1234" s="84"/>
      <c r="D1234" s="85"/>
      <c r="E1234" s="85"/>
      <c r="F1234" s="86"/>
      <c r="G1234" s="86"/>
      <c r="H1234" s="87"/>
      <c r="I1234" s="86"/>
      <c r="J1234" s="87"/>
      <c r="K1234" s="86"/>
      <c r="L1234" s="86"/>
      <c r="M1234" s="87"/>
      <c r="N1234" s="86"/>
      <c r="O1234" s="87"/>
    </row>
    <row r="1235" spans="2:15">
      <c r="B1235" s="83"/>
      <c r="C1235" s="84"/>
      <c r="D1235" s="85"/>
      <c r="E1235" s="85"/>
      <c r="F1235" s="86"/>
      <c r="G1235" s="86"/>
      <c r="H1235" s="87"/>
      <c r="I1235" s="86"/>
      <c r="J1235" s="87"/>
      <c r="K1235" s="86"/>
      <c r="L1235" s="86"/>
      <c r="M1235" s="87"/>
      <c r="N1235" s="86"/>
      <c r="O1235" s="87"/>
    </row>
    <row r="1236" spans="2:15">
      <c r="B1236" s="83"/>
      <c r="C1236" s="84"/>
      <c r="D1236" s="85"/>
      <c r="E1236" s="85"/>
      <c r="F1236" s="86"/>
      <c r="G1236" s="86"/>
      <c r="H1236" s="87"/>
      <c r="I1236" s="86"/>
      <c r="J1236" s="87"/>
      <c r="K1236" s="86"/>
      <c r="L1236" s="86"/>
      <c r="M1236" s="87"/>
      <c r="N1236" s="86"/>
      <c r="O1236" s="87"/>
    </row>
    <row r="1237" spans="2:15">
      <c r="B1237" s="83"/>
      <c r="C1237" s="84"/>
      <c r="D1237" s="85"/>
      <c r="E1237" s="85"/>
      <c r="F1237" s="86"/>
      <c r="G1237" s="86"/>
      <c r="H1237" s="87"/>
      <c r="I1237" s="86"/>
      <c r="J1237" s="87"/>
      <c r="K1237" s="86"/>
      <c r="L1237" s="86"/>
      <c r="M1237" s="87"/>
      <c r="N1237" s="86"/>
      <c r="O1237" s="87"/>
    </row>
    <row r="1238" spans="2:15">
      <c r="B1238" s="83"/>
      <c r="C1238" s="84"/>
      <c r="D1238" s="85"/>
      <c r="E1238" s="85"/>
      <c r="F1238" s="86"/>
      <c r="G1238" s="86"/>
      <c r="H1238" s="87"/>
      <c r="I1238" s="86"/>
      <c r="J1238" s="87"/>
      <c r="K1238" s="86"/>
      <c r="L1238" s="86"/>
      <c r="M1238" s="87"/>
      <c r="N1238" s="86"/>
      <c r="O1238" s="87"/>
    </row>
    <row r="1239" spans="2:15">
      <c r="B1239" s="83"/>
      <c r="C1239" s="84"/>
      <c r="D1239" s="85"/>
      <c r="E1239" s="85"/>
      <c r="F1239" s="86"/>
      <c r="G1239" s="86"/>
      <c r="H1239" s="87"/>
      <c r="I1239" s="86"/>
      <c r="J1239" s="87"/>
      <c r="K1239" s="86"/>
      <c r="L1239" s="86"/>
      <c r="M1239" s="87"/>
      <c r="N1239" s="86"/>
      <c r="O1239" s="87"/>
    </row>
    <row r="1240" spans="2:15">
      <c r="B1240" s="83"/>
      <c r="C1240" s="84"/>
      <c r="D1240" s="85"/>
      <c r="E1240" s="85"/>
      <c r="F1240" s="86"/>
      <c r="G1240" s="86"/>
      <c r="H1240" s="87"/>
      <c r="I1240" s="86"/>
      <c r="J1240" s="87"/>
      <c r="K1240" s="86"/>
      <c r="L1240" s="86"/>
      <c r="M1240" s="87"/>
      <c r="N1240" s="86"/>
      <c r="O1240" s="87"/>
    </row>
    <row r="1241" spans="2:15">
      <c r="B1241" s="83"/>
      <c r="C1241" s="84"/>
      <c r="D1241" s="85"/>
      <c r="E1241" s="85"/>
      <c r="F1241" s="86"/>
      <c r="G1241" s="86"/>
      <c r="H1241" s="87"/>
      <c r="I1241" s="86"/>
      <c r="J1241" s="87"/>
      <c r="K1241" s="86"/>
      <c r="L1241" s="86"/>
      <c r="M1241" s="87"/>
      <c r="N1241" s="86"/>
      <c r="O1241" s="87"/>
    </row>
    <row r="1242" spans="2:15">
      <c r="B1242" s="83"/>
      <c r="C1242" s="84"/>
      <c r="D1242" s="85"/>
      <c r="E1242" s="85"/>
      <c r="F1242" s="86"/>
      <c r="G1242" s="86"/>
      <c r="H1242" s="87"/>
      <c r="I1242" s="86"/>
      <c r="J1242" s="87"/>
      <c r="K1242" s="86"/>
      <c r="L1242" s="86"/>
      <c r="M1242" s="87"/>
      <c r="N1242" s="86"/>
      <c r="O1242" s="87"/>
    </row>
    <row r="1243" spans="2:15">
      <c r="B1243" s="83"/>
      <c r="C1243" s="84"/>
      <c r="D1243" s="85"/>
      <c r="E1243" s="85"/>
      <c r="F1243" s="86"/>
      <c r="G1243" s="86"/>
      <c r="H1243" s="87"/>
      <c r="I1243" s="86"/>
      <c r="J1243" s="87"/>
      <c r="K1243" s="86"/>
      <c r="L1243" s="86"/>
      <c r="M1243" s="87"/>
      <c r="N1243" s="86"/>
      <c r="O1243" s="87"/>
    </row>
    <row r="1244" spans="2:15">
      <c r="B1244" s="83"/>
      <c r="C1244" s="84"/>
      <c r="D1244" s="85"/>
      <c r="E1244" s="85"/>
      <c r="F1244" s="86"/>
      <c r="G1244" s="86"/>
      <c r="H1244" s="87"/>
      <c r="I1244" s="86"/>
      <c r="J1244" s="87"/>
      <c r="K1244" s="86"/>
      <c r="L1244" s="86"/>
      <c r="M1244" s="87"/>
      <c r="N1244" s="86"/>
      <c r="O1244" s="87"/>
    </row>
    <row r="1245" spans="2:15">
      <c r="B1245" s="83"/>
      <c r="C1245" s="84"/>
      <c r="D1245" s="85"/>
      <c r="E1245" s="85"/>
      <c r="F1245" s="86"/>
      <c r="G1245" s="86"/>
      <c r="H1245" s="87"/>
      <c r="I1245" s="86"/>
      <c r="J1245" s="87"/>
      <c r="K1245" s="86"/>
      <c r="L1245" s="86"/>
      <c r="M1245" s="87"/>
      <c r="N1245" s="86"/>
      <c r="O1245" s="87"/>
    </row>
    <row r="1246" spans="2:15">
      <c r="B1246" s="83"/>
      <c r="C1246" s="84"/>
      <c r="D1246" s="85"/>
      <c r="E1246" s="85"/>
      <c r="F1246" s="86"/>
      <c r="G1246" s="86"/>
      <c r="H1246" s="87"/>
      <c r="I1246" s="86"/>
      <c r="J1246" s="87"/>
      <c r="K1246" s="86"/>
      <c r="L1246" s="86"/>
      <c r="M1246" s="87"/>
      <c r="N1246" s="86"/>
      <c r="O1246" s="87"/>
    </row>
    <row r="1247" spans="2:15">
      <c r="B1247" s="83"/>
      <c r="C1247" s="84"/>
      <c r="D1247" s="85"/>
      <c r="E1247" s="85"/>
      <c r="F1247" s="86"/>
      <c r="G1247" s="86"/>
      <c r="H1247" s="87"/>
      <c r="I1247" s="86"/>
      <c r="J1247" s="87"/>
      <c r="K1247" s="86"/>
      <c r="L1247" s="86"/>
      <c r="M1247" s="87"/>
      <c r="N1247" s="86"/>
      <c r="O1247" s="87"/>
    </row>
    <row r="1248" spans="2:15">
      <c r="B1248" s="83"/>
      <c r="C1248" s="84"/>
      <c r="D1248" s="85"/>
      <c r="E1248" s="85"/>
      <c r="F1248" s="86"/>
      <c r="G1248" s="86"/>
      <c r="H1248" s="87"/>
      <c r="I1248" s="86"/>
      <c r="J1248" s="87"/>
      <c r="K1248" s="86"/>
      <c r="L1248" s="86"/>
      <c r="M1248" s="87"/>
      <c r="N1248" s="86"/>
      <c r="O1248" s="87"/>
    </row>
    <row r="1249" spans="2:15">
      <c r="B1249" s="83"/>
      <c r="C1249" s="84"/>
      <c r="D1249" s="85"/>
      <c r="E1249" s="85"/>
      <c r="F1249" s="86"/>
      <c r="G1249" s="86"/>
      <c r="H1249" s="87"/>
      <c r="I1249" s="86"/>
      <c r="J1249" s="87"/>
      <c r="K1249" s="86"/>
      <c r="L1249" s="86"/>
      <c r="M1249" s="87"/>
      <c r="N1249" s="86"/>
      <c r="O1249" s="87"/>
    </row>
    <row r="1250" spans="2:15">
      <c r="B1250" s="83"/>
      <c r="C1250" s="84"/>
      <c r="D1250" s="85"/>
      <c r="E1250" s="85"/>
      <c r="F1250" s="86"/>
      <c r="G1250" s="86"/>
      <c r="H1250" s="87"/>
      <c r="I1250" s="86"/>
      <c r="J1250" s="87"/>
      <c r="K1250" s="86"/>
      <c r="L1250" s="86"/>
      <c r="M1250" s="87"/>
      <c r="N1250" s="86"/>
      <c r="O1250" s="87"/>
    </row>
    <row r="1251" spans="2:15">
      <c r="B1251" s="83"/>
      <c r="C1251" s="84"/>
      <c r="D1251" s="85"/>
      <c r="E1251" s="85"/>
      <c r="F1251" s="86"/>
      <c r="G1251" s="86"/>
      <c r="H1251" s="87"/>
      <c r="I1251" s="86"/>
      <c r="J1251" s="87"/>
      <c r="K1251" s="86"/>
      <c r="L1251" s="86"/>
      <c r="M1251" s="87"/>
      <c r="N1251" s="86"/>
      <c r="O1251" s="87"/>
    </row>
    <row r="1252" spans="2:15">
      <c r="B1252" s="83"/>
      <c r="C1252" s="84"/>
      <c r="D1252" s="85"/>
      <c r="E1252" s="85"/>
      <c r="F1252" s="86"/>
      <c r="G1252" s="86"/>
      <c r="H1252" s="87"/>
      <c r="I1252" s="86"/>
      <c r="J1252" s="87"/>
      <c r="K1252" s="86"/>
      <c r="L1252" s="86"/>
      <c r="M1252" s="87"/>
      <c r="N1252" s="86"/>
      <c r="O1252" s="87"/>
    </row>
    <row r="1253" spans="2:15">
      <c r="B1253" s="83"/>
      <c r="C1253" s="84"/>
      <c r="D1253" s="85"/>
      <c r="E1253" s="85"/>
      <c r="F1253" s="86"/>
      <c r="G1253" s="86"/>
      <c r="H1253" s="87"/>
      <c r="I1253" s="86"/>
      <c r="J1253" s="87"/>
      <c r="K1253" s="86"/>
      <c r="L1253" s="86"/>
      <c r="M1253" s="87"/>
      <c r="N1253" s="86"/>
      <c r="O1253" s="87"/>
    </row>
    <row r="1254" spans="2:15">
      <c r="B1254" s="83"/>
      <c r="C1254" s="84"/>
      <c r="D1254" s="85"/>
      <c r="E1254" s="85"/>
      <c r="F1254" s="86"/>
      <c r="G1254" s="86"/>
      <c r="H1254" s="87"/>
      <c r="I1254" s="86"/>
      <c r="J1254" s="87"/>
      <c r="K1254" s="86"/>
      <c r="L1254" s="86"/>
      <c r="M1254" s="87"/>
      <c r="N1254" s="86"/>
      <c r="O1254" s="87"/>
    </row>
    <row r="1255" spans="2:15">
      <c r="B1255" s="83"/>
      <c r="C1255" s="84"/>
      <c r="D1255" s="85"/>
      <c r="E1255" s="85"/>
      <c r="F1255" s="86"/>
      <c r="G1255" s="86"/>
      <c r="H1255" s="87"/>
      <c r="I1255" s="86"/>
      <c r="J1255" s="87"/>
      <c r="K1255" s="86"/>
      <c r="L1255" s="86"/>
      <c r="M1255" s="87"/>
      <c r="N1255" s="86"/>
      <c r="O1255" s="87"/>
    </row>
    <row r="1256" spans="2:15">
      <c r="B1256" s="83"/>
      <c r="C1256" s="84"/>
      <c r="D1256" s="85"/>
      <c r="E1256" s="85"/>
      <c r="F1256" s="86"/>
      <c r="G1256" s="86"/>
      <c r="H1256" s="87"/>
      <c r="I1256" s="86"/>
      <c r="J1256" s="87"/>
      <c r="K1256" s="86"/>
      <c r="L1256" s="86"/>
      <c r="M1256" s="87"/>
      <c r="N1256" s="86"/>
      <c r="O1256" s="87"/>
    </row>
    <row r="1257" spans="2:15">
      <c r="B1257" s="83"/>
      <c r="C1257" s="84"/>
      <c r="D1257" s="85"/>
      <c r="E1257" s="85"/>
      <c r="F1257" s="86"/>
      <c r="G1257" s="86"/>
      <c r="H1257" s="87"/>
      <c r="I1257" s="86"/>
      <c r="J1257" s="87"/>
      <c r="K1257" s="86"/>
      <c r="L1257" s="86"/>
      <c r="M1257" s="87"/>
      <c r="N1257" s="86"/>
      <c r="O1257" s="87"/>
    </row>
    <row r="1258" spans="2:15">
      <c r="B1258" s="83"/>
      <c r="C1258" s="84"/>
      <c r="D1258" s="85"/>
      <c r="E1258" s="85"/>
      <c r="F1258" s="86"/>
      <c r="G1258" s="86"/>
      <c r="H1258" s="87"/>
      <c r="I1258" s="86"/>
      <c r="J1258" s="87"/>
      <c r="K1258" s="86"/>
      <c r="L1258" s="86"/>
      <c r="M1258" s="87"/>
      <c r="N1258" s="86"/>
      <c r="O1258" s="87"/>
    </row>
    <row r="1259" spans="2:15">
      <c r="B1259" s="83"/>
      <c r="C1259" s="84"/>
      <c r="D1259" s="85"/>
      <c r="E1259" s="85"/>
      <c r="F1259" s="86"/>
      <c r="G1259" s="86"/>
      <c r="H1259" s="87"/>
      <c r="I1259" s="86"/>
      <c r="J1259" s="87"/>
      <c r="K1259" s="86"/>
      <c r="L1259" s="86"/>
      <c r="M1259" s="87"/>
      <c r="N1259" s="86"/>
      <c r="O1259" s="87"/>
    </row>
    <row r="1260" spans="2:15">
      <c r="B1260" s="83"/>
      <c r="C1260" s="84"/>
      <c r="D1260" s="85"/>
      <c r="E1260" s="85"/>
      <c r="F1260" s="86"/>
      <c r="G1260" s="86"/>
      <c r="H1260" s="87"/>
      <c r="I1260" s="86"/>
      <c r="J1260" s="87"/>
      <c r="K1260" s="86"/>
      <c r="L1260" s="86"/>
      <c r="M1260" s="87"/>
      <c r="N1260" s="86"/>
      <c r="O1260" s="87"/>
    </row>
    <row r="1261" spans="2:15">
      <c r="B1261" s="83"/>
      <c r="C1261" s="84"/>
      <c r="D1261" s="85"/>
      <c r="E1261" s="85"/>
      <c r="F1261" s="86"/>
      <c r="G1261" s="86"/>
      <c r="H1261" s="87"/>
      <c r="I1261" s="86"/>
      <c r="J1261" s="87"/>
      <c r="K1261" s="86"/>
      <c r="L1261" s="86"/>
      <c r="M1261" s="87"/>
      <c r="N1261" s="86"/>
      <c r="O1261" s="87"/>
    </row>
    <row r="1262" spans="2:15">
      <c r="B1262" s="83"/>
      <c r="C1262" s="84"/>
      <c r="D1262" s="85"/>
      <c r="E1262" s="85"/>
      <c r="F1262" s="86"/>
      <c r="G1262" s="86"/>
      <c r="H1262" s="87"/>
      <c r="I1262" s="86"/>
      <c r="J1262" s="87"/>
      <c r="K1262" s="86"/>
      <c r="L1262" s="86"/>
      <c r="M1262" s="87"/>
      <c r="N1262" s="86"/>
      <c r="O1262" s="87"/>
    </row>
    <row r="1263" spans="2:15">
      <c r="B1263" s="83"/>
      <c r="C1263" s="84"/>
      <c r="D1263" s="85"/>
      <c r="E1263" s="85"/>
      <c r="F1263" s="86"/>
      <c r="G1263" s="86"/>
      <c r="H1263" s="87"/>
      <c r="I1263" s="86"/>
      <c r="J1263" s="87"/>
      <c r="K1263" s="86"/>
      <c r="L1263" s="86"/>
      <c r="M1263" s="87"/>
      <c r="N1263" s="86"/>
      <c r="O1263" s="87"/>
    </row>
    <row r="1264" spans="2:15">
      <c r="B1264" s="83"/>
      <c r="C1264" s="84"/>
      <c r="D1264" s="85"/>
      <c r="E1264" s="85"/>
      <c r="F1264" s="86"/>
      <c r="G1264" s="86"/>
      <c r="H1264" s="87"/>
      <c r="I1264" s="86"/>
      <c r="J1264" s="87"/>
      <c r="K1264" s="86"/>
      <c r="L1264" s="86"/>
      <c r="M1264" s="87"/>
      <c r="N1264" s="86"/>
      <c r="O1264" s="87"/>
    </row>
    <row r="1265" spans="2:15">
      <c r="B1265" s="83"/>
      <c r="C1265" s="84"/>
      <c r="D1265" s="85"/>
      <c r="E1265" s="85"/>
      <c r="F1265" s="86"/>
      <c r="G1265" s="86"/>
      <c r="H1265" s="87"/>
      <c r="I1265" s="86"/>
      <c r="J1265" s="87"/>
      <c r="K1265" s="86"/>
      <c r="L1265" s="86"/>
      <c r="M1265" s="87"/>
      <c r="N1265" s="86"/>
      <c r="O1265" s="87"/>
    </row>
    <row r="1266" spans="2:15">
      <c r="B1266" s="83"/>
      <c r="C1266" s="84"/>
      <c r="D1266" s="85"/>
      <c r="E1266" s="85"/>
      <c r="F1266" s="86"/>
      <c r="G1266" s="86"/>
      <c r="H1266" s="87"/>
      <c r="I1266" s="86"/>
      <c r="J1266" s="87"/>
      <c r="K1266" s="86"/>
      <c r="L1266" s="86"/>
      <c r="M1266" s="87"/>
      <c r="N1266" s="86"/>
      <c r="O1266" s="87"/>
    </row>
    <row r="1267" spans="2:15">
      <c r="B1267" s="83"/>
      <c r="C1267" s="84"/>
      <c r="D1267" s="85"/>
      <c r="E1267" s="85"/>
      <c r="F1267" s="86"/>
      <c r="G1267" s="86"/>
      <c r="H1267" s="87"/>
      <c r="I1267" s="86"/>
      <c r="J1267" s="87"/>
      <c r="K1267" s="86"/>
      <c r="L1267" s="86"/>
      <c r="M1267" s="87"/>
      <c r="N1267" s="86"/>
      <c r="O1267" s="87"/>
    </row>
    <row r="1268" spans="2:15">
      <c r="B1268" s="83"/>
      <c r="C1268" s="84"/>
      <c r="D1268" s="85"/>
      <c r="E1268" s="85"/>
      <c r="F1268" s="86"/>
      <c r="G1268" s="86"/>
      <c r="H1268" s="87"/>
      <c r="I1268" s="86"/>
      <c r="J1268" s="87"/>
      <c r="K1268" s="86"/>
      <c r="L1268" s="86"/>
      <c r="M1268" s="87"/>
      <c r="N1268" s="86"/>
      <c r="O1268" s="87"/>
    </row>
    <row r="1269" spans="2:15">
      <c r="B1269" s="83"/>
      <c r="C1269" s="84"/>
      <c r="D1269" s="85"/>
      <c r="E1269" s="85"/>
      <c r="F1269" s="86"/>
      <c r="G1269" s="86"/>
      <c r="H1269" s="87"/>
      <c r="I1269" s="86"/>
      <c r="J1269" s="87"/>
      <c r="K1269" s="86"/>
      <c r="L1269" s="86"/>
      <c r="M1269" s="87"/>
      <c r="N1269" s="86"/>
      <c r="O1269" s="87"/>
    </row>
    <row r="1270" spans="2:15">
      <c r="B1270" s="83"/>
      <c r="C1270" s="84"/>
      <c r="D1270" s="85"/>
      <c r="E1270" s="85"/>
      <c r="F1270" s="86"/>
      <c r="G1270" s="86"/>
      <c r="H1270" s="87"/>
      <c r="I1270" s="86"/>
      <c r="J1270" s="87"/>
      <c r="K1270" s="86"/>
      <c r="L1270" s="86"/>
      <c r="M1270" s="87"/>
      <c r="N1270" s="86"/>
      <c r="O1270" s="87"/>
    </row>
    <row r="1271" spans="2:15">
      <c r="B1271" s="83"/>
      <c r="C1271" s="84"/>
      <c r="D1271" s="85"/>
      <c r="E1271" s="85"/>
      <c r="F1271" s="86"/>
      <c r="G1271" s="86"/>
      <c r="H1271" s="87"/>
      <c r="I1271" s="86"/>
      <c r="J1271" s="87"/>
      <c r="K1271" s="86"/>
      <c r="L1271" s="86"/>
      <c r="M1271" s="87"/>
      <c r="N1271" s="86"/>
      <c r="O1271" s="87"/>
    </row>
    <row r="1272" spans="2:15">
      <c r="B1272" s="83"/>
      <c r="C1272" s="84"/>
      <c r="D1272" s="85"/>
      <c r="E1272" s="85"/>
      <c r="F1272" s="86"/>
      <c r="G1272" s="86"/>
      <c r="H1272" s="87"/>
      <c r="I1272" s="86"/>
      <c r="J1272" s="87"/>
      <c r="K1272" s="86"/>
      <c r="L1272" s="86"/>
      <c r="M1272" s="87"/>
      <c r="N1272" s="86"/>
      <c r="O1272" s="87"/>
    </row>
    <row r="1273" spans="2:15">
      <c r="B1273" s="83"/>
      <c r="C1273" s="84"/>
      <c r="D1273" s="85"/>
      <c r="E1273" s="85"/>
      <c r="F1273" s="86"/>
      <c r="G1273" s="86"/>
      <c r="H1273" s="87"/>
      <c r="I1273" s="86"/>
      <c r="J1273" s="87"/>
      <c r="K1273" s="86"/>
      <c r="L1273" s="86"/>
      <c r="M1273" s="87"/>
      <c r="N1273" s="86"/>
      <c r="O1273" s="87"/>
    </row>
    <row r="1274" spans="2:15">
      <c r="B1274" s="83"/>
      <c r="C1274" s="84"/>
      <c r="D1274" s="85"/>
      <c r="E1274" s="85"/>
      <c r="F1274" s="86"/>
      <c r="G1274" s="86"/>
      <c r="H1274" s="87"/>
      <c r="I1274" s="86"/>
      <c r="J1274" s="87"/>
      <c r="K1274" s="86"/>
      <c r="L1274" s="86"/>
      <c r="M1274" s="87"/>
      <c r="N1274" s="86"/>
      <c r="O1274" s="87"/>
    </row>
    <row r="1275" spans="2:15">
      <c r="B1275" s="83"/>
      <c r="C1275" s="84"/>
      <c r="D1275" s="85"/>
      <c r="E1275" s="85"/>
      <c r="F1275" s="86"/>
      <c r="G1275" s="86"/>
      <c r="H1275" s="87"/>
      <c r="I1275" s="86"/>
      <c r="J1275" s="87"/>
      <c r="K1275" s="86"/>
      <c r="L1275" s="86"/>
      <c r="M1275" s="87"/>
      <c r="N1275" s="86"/>
      <c r="O1275" s="87"/>
    </row>
    <row r="1276" spans="2:15">
      <c r="B1276" s="83"/>
      <c r="C1276" s="84"/>
      <c r="D1276" s="85"/>
      <c r="E1276" s="85"/>
      <c r="F1276" s="86"/>
      <c r="G1276" s="86"/>
      <c r="H1276" s="87"/>
      <c r="I1276" s="86"/>
      <c r="J1276" s="87"/>
      <c r="K1276" s="86"/>
      <c r="L1276" s="86"/>
      <c r="M1276" s="87"/>
      <c r="N1276" s="86"/>
      <c r="O1276" s="87"/>
    </row>
    <row r="1277" spans="2:15">
      <c r="B1277" s="83"/>
      <c r="C1277" s="84"/>
      <c r="D1277" s="85"/>
      <c r="E1277" s="85"/>
      <c r="F1277" s="86"/>
      <c r="G1277" s="86"/>
      <c r="H1277" s="87"/>
      <c r="I1277" s="86"/>
      <c r="J1277" s="87"/>
      <c r="K1277" s="86"/>
      <c r="L1277" s="86"/>
      <c r="M1277" s="87"/>
      <c r="N1277" s="86"/>
      <c r="O1277" s="87"/>
    </row>
    <row r="1278" spans="2:15">
      <c r="B1278" s="83"/>
      <c r="C1278" s="84"/>
      <c r="D1278" s="85"/>
      <c r="E1278" s="85"/>
      <c r="F1278" s="86"/>
      <c r="G1278" s="86"/>
      <c r="H1278" s="87"/>
      <c r="I1278" s="86"/>
      <c r="J1278" s="87"/>
      <c r="K1278" s="86"/>
      <c r="L1278" s="86"/>
      <c r="M1278" s="87"/>
      <c r="N1278" s="86"/>
      <c r="O1278" s="87"/>
    </row>
    <row r="1279" spans="2:15">
      <c r="B1279" s="83"/>
      <c r="C1279" s="84"/>
      <c r="D1279" s="85"/>
      <c r="E1279" s="85"/>
      <c r="F1279" s="86"/>
      <c r="G1279" s="86"/>
      <c r="H1279" s="87"/>
      <c r="I1279" s="86"/>
      <c r="J1279" s="87"/>
      <c r="K1279" s="86"/>
      <c r="L1279" s="86"/>
      <c r="M1279" s="87"/>
      <c r="N1279" s="86"/>
      <c r="O1279" s="87"/>
    </row>
    <row r="1280" spans="2:15">
      <c r="B1280" s="83"/>
      <c r="C1280" s="84"/>
      <c r="D1280" s="85"/>
      <c r="E1280" s="85"/>
      <c r="F1280" s="86"/>
      <c r="G1280" s="86"/>
      <c r="H1280" s="87"/>
      <c r="I1280" s="86"/>
      <c r="J1280" s="87"/>
      <c r="K1280" s="86"/>
      <c r="L1280" s="86"/>
      <c r="M1280" s="87"/>
      <c r="N1280" s="86"/>
      <c r="O1280" s="87"/>
    </row>
    <row r="1281" spans="2:15">
      <c r="B1281" s="83"/>
      <c r="C1281" s="84"/>
      <c r="D1281" s="85"/>
      <c r="E1281" s="85"/>
      <c r="F1281" s="86"/>
      <c r="G1281" s="86"/>
      <c r="H1281" s="87"/>
      <c r="I1281" s="86"/>
      <c r="J1281" s="87"/>
      <c r="K1281" s="86"/>
      <c r="L1281" s="86"/>
      <c r="M1281" s="87"/>
      <c r="N1281" s="86"/>
      <c r="O1281" s="87"/>
    </row>
    <row r="1282" spans="2:15">
      <c r="B1282" s="83"/>
      <c r="C1282" s="84"/>
      <c r="D1282" s="85"/>
      <c r="E1282" s="85"/>
      <c r="F1282" s="86"/>
      <c r="G1282" s="86"/>
      <c r="H1282" s="87"/>
      <c r="I1282" s="86"/>
      <c r="J1282" s="87"/>
      <c r="K1282" s="86"/>
      <c r="L1282" s="86"/>
      <c r="M1282" s="87"/>
      <c r="N1282" s="86"/>
      <c r="O1282" s="87"/>
    </row>
    <row r="1283" spans="2:15">
      <c r="B1283" s="83"/>
      <c r="C1283" s="84"/>
      <c r="D1283" s="85"/>
      <c r="E1283" s="85"/>
      <c r="F1283" s="86"/>
      <c r="G1283" s="86"/>
      <c r="H1283" s="87"/>
      <c r="I1283" s="86"/>
      <c r="J1283" s="87"/>
      <c r="K1283" s="86"/>
      <c r="L1283" s="86"/>
      <c r="M1283" s="87"/>
      <c r="N1283" s="86"/>
      <c r="O1283" s="87"/>
    </row>
    <row r="1284" spans="2:15">
      <c r="B1284" s="83"/>
      <c r="C1284" s="84"/>
      <c r="D1284" s="85"/>
      <c r="E1284" s="85"/>
      <c r="F1284" s="86"/>
      <c r="G1284" s="86"/>
      <c r="H1284" s="87"/>
      <c r="I1284" s="86"/>
      <c r="J1284" s="87"/>
      <c r="K1284" s="86"/>
      <c r="L1284" s="86"/>
      <c r="M1284" s="87"/>
      <c r="N1284" s="86"/>
      <c r="O1284" s="87"/>
    </row>
    <row r="1285" spans="2:15">
      <c r="B1285" s="83"/>
      <c r="C1285" s="84"/>
      <c r="D1285" s="85"/>
      <c r="E1285" s="85"/>
      <c r="F1285" s="86"/>
      <c r="G1285" s="86"/>
      <c r="H1285" s="87"/>
      <c r="I1285" s="86"/>
      <c r="J1285" s="87"/>
      <c r="K1285" s="86"/>
      <c r="L1285" s="86"/>
      <c r="M1285" s="87"/>
      <c r="N1285" s="86"/>
      <c r="O1285" s="87"/>
    </row>
    <row r="1286" spans="2:15">
      <c r="B1286" s="83"/>
      <c r="C1286" s="84"/>
      <c r="D1286" s="85"/>
      <c r="E1286" s="85"/>
      <c r="F1286" s="86"/>
      <c r="G1286" s="86"/>
      <c r="H1286" s="87"/>
      <c r="I1286" s="86"/>
      <c r="J1286" s="87"/>
      <c r="K1286" s="86"/>
      <c r="L1286" s="86"/>
      <c r="M1286" s="87"/>
      <c r="N1286" s="86"/>
      <c r="O1286" s="87"/>
    </row>
    <row r="1287" spans="2:15">
      <c r="B1287" s="83"/>
      <c r="C1287" s="84"/>
      <c r="D1287" s="85"/>
      <c r="E1287" s="85"/>
      <c r="F1287" s="86"/>
      <c r="G1287" s="86"/>
      <c r="H1287" s="87"/>
      <c r="I1287" s="86"/>
      <c r="J1287" s="87"/>
      <c r="K1287" s="86"/>
      <c r="L1287" s="86"/>
      <c r="M1287" s="87"/>
      <c r="N1287" s="86"/>
      <c r="O1287" s="87"/>
    </row>
    <row r="1288" spans="2:15">
      <c r="B1288" s="83"/>
      <c r="C1288" s="84"/>
      <c r="D1288" s="85"/>
      <c r="E1288" s="85"/>
      <c r="F1288" s="86"/>
      <c r="G1288" s="86"/>
      <c r="H1288" s="87"/>
      <c r="I1288" s="86"/>
      <c r="J1288" s="87"/>
      <c r="K1288" s="86"/>
      <c r="L1288" s="86"/>
      <c r="M1288" s="87"/>
      <c r="N1288" s="86"/>
      <c r="O1288" s="87"/>
    </row>
    <row r="1289" spans="2:15">
      <c r="B1289" s="83"/>
      <c r="C1289" s="84"/>
      <c r="D1289" s="85"/>
      <c r="E1289" s="85"/>
      <c r="F1289" s="86"/>
      <c r="G1289" s="86"/>
      <c r="H1289" s="87"/>
      <c r="I1289" s="86"/>
      <c r="J1289" s="87"/>
      <c r="K1289" s="86"/>
      <c r="L1289" s="86"/>
      <c r="M1289" s="87"/>
      <c r="N1289" s="86"/>
      <c r="O1289" s="87"/>
    </row>
    <row r="1290" spans="2:15">
      <c r="B1290" s="83"/>
      <c r="C1290" s="84"/>
      <c r="D1290" s="85"/>
      <c r="E1290" s="85"/>
      <c r="F1290" s="86"/>
      <c r="G1290" s="86"/>
      <c r="H1290" s="87"/>
      <c r="I1290" s="86"/>
      <c r="J1290" s="87"/>
      <c r="K1290" s="86"/>
      <c r="L1290" s="86"/>
      <c r="M1290" s="87"/>
      <c r="N1290" s="86"/>
      <c r="O1290" s="87"/>
    </row>
    <row r="1291" spans="2:15">
      <c r="B1291" s="83"/>
      <c r="C1291" s="84"/>
      <c r="D1291" s="85"/>
      <c r="E1291" s="85"/>
      <c r="F1291" s="86"/>
      <c r="G1291" s="86"/>
      <c r="H1291" s="87"/>
      <c r="I1291" s="86"/>
      <c r="J1291" s="87"/>
      <c r="K1291" s="86"/>
      <c r="L1291" s="86"/>
      <c r="M1291" s="87"/>
      <c r="N1291" s="86"/>
      <c r="O1291" s="87"/>
    </row>
    <row r="1292" spans="2:15">
      <c r="B1292" s="83"/>
      <c r="C1292" s="84"/>
      <c r="D1292" s="85"/>
      <c r="E1292" s="85"/>
      <c r="F1292" s="86"/>
      <c r="G1292" s="86"/>
      <c r="H1292" s="87"/>
      <c r="I1292" s="86"/>
      <c r="J1292" s="87"/>
      <c r="K1292" s="86"/>
      <c r="L1292" s="86"/>
      <c r="M1292" s="87"/>
      <c r="N1292" s="86"/>
      <c r="O1292" s="87"/>
    </row>
    <row r="1293" spans="2:15">
      <c r="B1293" s="83"/>
      <c r="C1293" s="84"/>
      <c r="D1293" s="85"/>
      <c r="E1293" s="85"/>
      <c r="F1293" s="86"/>
      <c r="G1293" s="86"/>
      <c r="H1293" s="87"/>
      <c r="I1293" s="86"/>
      <c r="J1293" s="87"/>
      <c r="K1293" s="86"/>
      <c r="L1293" s="86"/>
      <c r="M1293" s="87"/>
      <c r="N1293" s="86"/>
      <c r="O1293" s="87"/>
    </row>
    <row r="1294" spans="2:15">
      <c r="B1294" s="83"/>
      <c r="C1294" s="84"/>
      <c r="D1294" s="85"/>
      <c r="E1294" s="85"/>
      <c r="F1294" s="86"/>
      <c r="G1294" s="86"/>
      <c r="H1294" s="87"/>
      <c r="I1294" s="86"/>
      <c r="J1294" s="87"/>
      <c r="K1294" s="86"/>
      <c r="L1294" s="86"/>
      <c r="M1294" s="87"/>
      <c r="N1294" s="86"/>
      <c r="O1294" s="87"/>
    </row>
    <row r="1295" spans="2:15">
      <c r="B1295" s="83"/>
      <c r="C1295" s="84"/>
      <c r="D1295" s="85"/>
      <c r="E1295" s="85"/>
      <c r="F1295" s="86"/>
      <c r="G1295" s="86"/>
      <c r="H1295" s="87"/>
      <c r="I1295" s="86"/>
      <c r="J1295" s="87"/>
      <c r="K1295" s="86"/>
      <c r="L1295" s="86"/>
      <c r="M1295" s="87"/>
      <c r="N1295" s="86"/>
      <c r="O1295" s="87"/>
    </row>
    <row r="1296" spans="2:15">
      <c r="B1296" s="83"/>
      <c r="C1296" s="84"/>
      <c r="D1296" s="85"/>
      <c r="E1296" s="85"/>
      <c r="F1296" s="86"/>
      <c r="G1296" s="86"/>
      <c r="H1296" s="87"/>
      <c r="I1296" s="86"/>
      <c r="J1296" s="87"/>
      <c r="K1296" s="86"/>
      <c r="L1296" s="86"/>
      <c r="M1296" s="87"/>
      <c r="N1296" s="86"/>
      <c r="O1296" s="87"/>
    </row>
    <row r="1297" spans="2:15">
      <c r="B1297" s="83"/>
      <c r="C1297" s="84"/>
      <c r="D1297" s="85"/>
      <c r="E1297" s="85"/>
      <c r="F1297" s="86"/>
      <c r="G1297" s="86"/>
      <c r="H1297" s="87"/>
      <c r="I1297" s="86"/>
      <c r="J1297" s="87"/>
      <c r="K1297" s="86"/>
      <c r="L1297" s="86"/>
      <c r="M1297" s="87"/>
      <c r="N1297" s="86"/>
      <c r="O1297" s="87"/>
    </row>
    <row r="1298" spans="2:15">
      <c r="B1298" s="83"/>
      <c r="C1298" s="84"/>
      <c r="D1298" s="85"/>
      <c r="E1298" s="85"/>
      <c r="F1298" s="86"/>
      <c r="G1298" s="86"/>
      <c r="H1298" s="87"/>
      <c r="I1298" s="86"/>
      <c r="J1298" s="87"/>
      <c r="K1298" s="86"/>
      <c r="L1298" s="86"/>
      <c r="M1298" s="87"/>
      <c r="N1298" s="86"/>
      <c r="O1298" s="87"/>
    </row>
    <row r="1299" spans="2:15">
      <c r="B1299" s="83"/>
      <c r="C1299" s="84"/>
      <c r="D1299" s="85"/>
      <c r="E1299" s="85"/>
      <c r="F1299" s="86"/>
      <c r="G1299" s="86"/>
      <c r="H1299" s="87"/>
      <c r="I1299" s="86"/>
      <c r="J1299" s="87"/>
      <c r="K1299" s="86"/>
      <c r="L1299" s="86"/>
      <c r="M1299" s="87"/>
      <c r="N1299" s="86"/>
      <c r="O1299" s="87"/>
    </row>
    <row r="1300" spans="2:15">
      <c r="B1300" s="83"/>
      <c r="C1300" s="84"/>
      <c r="D1300" s="85"/>
      <c r="E1300" s="85"/>
      <c r="F1300" s="86"/>
      <c r="G1300" s="86"/>
      <c r="H1300" s="87"/>
      <c r="I1300" s="86"/>
      <c r="J1300" s="87"/>
      <c r="K1300" s="86"/>
      <c r="L1300" s="86"/>
      <c r="M1300" s="87"/>
      <c r="N1300" s="86"/>
      <c r="O1300" s="87"/>
    </row>
    <row r="1301" spans="2:15">
      <c r="B1301" s="83"/>
      <c r="C1301" s="84"/>
      <c r="D1301" s="85"/>
      <c r="E1301" s="85"/>
      <c r="F1301" s="86"/>
      <c r="G1301" s="86"/>
      <c r="H1301" s="87"/>
      <c r="I1301" s="86"/>
      <c r="J1301" s="87"/>
      <c r="K1301" s="86"/>
      <c r="L1301" s="86"/>
      <c r="M1301" s="87"/>
      <c r="N1301" s="86"/>
      <c r="O1301" s="87"/>
    </row>
    <row r="1302" spans="2:15">
      <c r="B1302" s="83"/>
      <c r="C1302" s="84"/>
      <c r="D1302" s="85"/>
      <c r="E1302" s="85"/>
      <c r="F1302" s="86"/>
      <c r="G1302" s="86"/>
      <c r="H1302" s="87"/>
      <c r="I1302" s="86"/>
      <c r="J1302" s="87"/>
      <c r="K1302" s="86"/>
      <c r="L1302" s="86"/>
      <c r="M1302" s="87"/>
      <c r="N1302" s="86"/>
      <c r="O1302" s="87"/>
    </row>
    <row r="1303" spans="2:15">
      <c r="B1303" s="83"/>
      <c r="C1303" s="84"/>
      <c r="D1303" s="85"/>
      <c r="E1303" s="85"/>
      <c r="F1303" s="86"/>
      <c r="G1303" s="86"/>
      <c r="H1303" s="87"/>
      <c r="I1303" s="86"/>
      <c r="J1303" s="87"/>
      <c r="K1303" s="86"/>
      <c r="L1303" s="86"/>
      <c r="M1303" s="87"/>
      <c r="N1303" s="86"/>
      <c r="O1303" s="87"/>
    </row>
    <row r="1304" spans="2:15">
      <c r="B1304" s="83"/>
      <c r="C1304" s="84"/>
      <c r="D1304" s="85"/>
      <c r="E1304" s="85"/>
      <c r="F1304" s="86"/>
      <c r="G1304" s="86"/>
      <c r="H1304" s="87"/>
      <c r="I1304" s="86"/>
      <c r="J1304" s="87"/>
      <c r="K1304" s="86"/>
      <c r="L1304" s="86"/>
      <c r="M1304" s="87"/>
      <c r="N1304" s="86"/>
      <c r="O1304" s="87"/>
    </row>
    <row r="1305" spans="2:15">
      <c r="B1305" s="83"/>
      <c r="C1305" s="84"/>
      <c r="D1305" s="85"/>
      <c r="E1305" s="85"/>
      <c r="F1305" s="86"/>
      <c r="G1305" s="86"/>
      <c r="H1305" s="87"/>
      <c r="I1305" s="86"/>
      <c r="J1305" s="87"/>
      <c r="K1305" s="86"/>
      <c r="L1305" s="86"/>
      <c r="M1305" s="87"/>
      <c r="N1305" s="86"/>
      <c r="O1305" s="87"/>
    </row>
    <row r="1306" spans="2:15">
      <c r="B1306" s="83"/>
      <c r="C1306" s="84"/>
      <c r="D1306" s="85"/>
      <c r="E1306" s="85"/>
      <c r="F1306" s="86"/>
      <c r="G1306" s="86"/>
      <c r="H1306" s="87"/>
      <c r="I1306" s="86"/>
      <c r="J1306" s="87"/>
      <c r="K1306" s="86"/>
      <c r="L1306" s="86"/>
      <c r="M1306" s="87"/>
      <c r="N1306" s="86"/>
      <c r="O1306" s="87"/>
    </row>
    <row r="1307" spans="2:15">
      <c r="B1307" s="83"/>
      <c r="C1307" s="84"/>
      <c r="D1307" s="85"/>
      <c r="E1307" s="85"/>
      <c r="F1307" s="86"/>
      <c r="G1307" s="86"/>
      <c r="H1307" s="87"/>
      <c r="I1307" s="86"/>
      <c r="J1307" s="87"/>
      <c r="K1307" s="86"/>
      <c r="L1307" s="86"/>
      <c r="M1307" s="87"/>
      <c r="N1307" s="86"/>
      <c r="O1307" s="87"/>
    </row>
    <row r="1308" spans="2:15">
      <c r="B1308" s="83"/>
      <c r="C1308" s="84"/>
      <c r="D1308" s="85"/>
      <c r="E1308" s="85"/>
      <c r="F1308" s="86"/>
      <c r="G1308" s="86"/>
      <c r="H1308" s="87"/>
      <c r="I1308" s="86"/>
      <c r="J1308" s="87"/>
      <c r="K1308" s="86"/>
      <c r="L1308" s="86"/>
      <c r="M1308" s="87"/>
      <c r="N1308" s="86"/>
      <c r="O1308" s="87"/>
    </row>
    <row r="1309" spans="2:15">
      <c r="B1309" s="83"/>
      <c r="C1309" s="84"/>
      <c r="D1309" s="85"/>
      <c r="E1309" s="85"/>
      <c r="F1309" s="86"/>
      <c r="G1309" s="86"/>
      <c r="H1309" s="87"/>
      <c r="I1309" s="86"/>
      <c r="J1309" s="87"/>
      <c r="K1309" s="86"/>
      <c r="L1309" s="86"/>
      <c r="M1309" s="87"/>
      <c r="N1309" s="86"/>
      <c r="O1309" s="87"/>
    </row>
    <row r="1310" spans="2:15">
      <c r="B1310" s="83"/>
      <c r="C1310" s="84"/>
      <c r="D1310" s="85"/>
      <c r="E1310" s="85"/>
      <c r="F1310" s="86"/>
      <c r="G1310" s="86"/>
      <c r="H1310" s="87"/>
      <c r="I1310" s="86"/>
      <c r="J1310" s="87"/>
      <c r="K1310" s="86"/>
      <c r="L1310" s="86"/>
      <c r="M1310" s="87"/>
      <c r="N1310" s="86"/>
      <c r="O1310" s="87"/>
    </row>
    <row r="1311" spans="2:15">
      <c r="B1311" s="83"/>
      <c r="C1311" s="84"/>
      <c r="D1311" s="85"/>
      <c r="E1311" s="85"/>
      <c r="F1311" s="86"/>
      <c r="G1311" s="86"/>
      <c r="H1311" s="87"/>
      <c r="I1311" s="86"/>
      <c r="J1311" s="87"/>
      <c r="K1311" s="86"/>
      <c r="L1311" s="86"/>
      <c r="M1311" s="87"/>
      <c r="N1311" s="86"/>
      <c r="O1311" s="87"/>
    </row>
    <row r="1312" spans="2:15">
      <c r="B1312" s="83"/>
      <c r="C1312" s="84"/>
      <c r="D1312" s="85"/>
      <c r="E1312" s="85"/>
      <c r="F1312" s="86"/>
      <c r="G1312" s="86"/>
      <c r="H1312" s="87"/>
      <c r="I1312" s="86"/>
      <c r="J1312" s="87"/>
      <c r="K1312" s="86"/>
      <c r="L1312" s="86"/>
      <c r="M1312" s="87"/>
      <c r="N1312" s="86"/>
      <c r="O1312" s="87"/>
    </row>
    <row r="1313" spans="2:15">
      <c r="B1313" s="83"/>
      <c r="C1313" s="84"/>
      <c r="D1313" s="85"/>
      <c r="E1313" s="85"/>
      <c r="F1313" s="86"/>
      <c r="G1313" s="86"/>
      <c r="H1313" s="87"/>
      <c r="I1313" s="86"/>
      <c r="J1313" s="87"/>
      <c r="K1313" s="86"/>
      <c r="L1313" s="86"/>
      <c r="M1313" s="87"/>
      <c r="N1313" s="86"/>
      <c r="O1313" s="87"/>
    </row>
    <row r="1314" spans="2:15">
      <c r="B1314" s="83"/>
      <c r="C1314" s="84"/>
      <c r="D1314" s="85"/>
      <c r="E1314" s="85"/>
      <c r="F1314" s="86"/>
      <c r="G1314" s="86"/>
      <c r="H1314" s="87"/>
      <c r="I1314" s="86"/>
      <c r="J1314" s="87"/>
      <c r="K1314" s="86"/>
      <c r="L1314" s="86"/>
      <c r="M1314" s="87"/>
      <c r="N1314" s="86"/>
      <c r="O1314" s="87"/>
    </row>
    <row r="1315" spans="2:15">
      <c r="B1315" s="83"/>
      <c r="C1315" s="84"/>
      <c r="D1315" s="85"/>
      <c r="E1315" s="85"/>
      <c r="F1315" s="86"/>
      <c r="G1315" s="86"/>
      <c r="H1315" s="87"/>
      <c r="I1315" s="86"/>
      <c r="J1315" s="87"/>
      <c r="K1315" s="86"/>
      <c r="L1315" s="86"/>
      <c r="M1315" s="87"/>
      <c r="N1315" s="86"/>
      <c r="O1315" s="87"/>
    </row>
    <row r="1316" spans="2:15">
      <c r="B1316" s="83"/>
      <c r="C1316" s="84"/>
      <c r="D1316" s="85"/>
      <c r="E1316" s="85"/>
      <c r="F1316" s="86"/>
      <c r="G1316" s="86"/>
      <c r="H1316" s="87"/>
      <c r="I1316" s="86"/>
      <c r="J1316" s="87"/>
      <c r="K1316" s="86"/>
      <c r="L1316" s="86"/>
      <c r="M1316" s="87"/>
      <c r="N1316" s="86"/>
      <c r="O1316" s="87"/>
    </row>
    <row r="1317" spans="2:15">
      <c r="B1317" s="83"/>
      <c r="C1317" s="84"/>
      <c r="D1317" s="85"/>
      <c r="E1317" s="85"/>
      <c r="F1317" s="86"/>
      <c r="G1317" s="86"/>
      <c r="H1317" s="87"/>
      <c r="I1317" s="86"/>
      <c r="J1317" s="87"/>
      <c r="K1317" s="86"/>
      <c r="L1317" s="86"/>
      <c r="M1317" s="87"/>
      <c r="N1317" s="86"/>
      <c r="O1317" s="87"/>
    </row>
    <row r="1318" spans="2:15">
      <c r="B1318" s="83"/>
      <c r="C1318" s="84"/>
      <c r="D1318" s="85"/>
      <c r="E1318" s="85"/>
      <c r="F1318" s="86"/>
      <c r="G1318" s="86"/>
      <c r="H1318" s="87"/>
      <c r="I1318" s="86"/>
      <c r="J1318" s="87"/>
      <c r="K1318" s="86"/>
      <c r="L1318" s="86"/>
      <c r="M1318" s="87"/>
      <c r="N1318" s="86"/>
      <c r="O1318" s="87"/>
    </row>
    <row r="1319" spans="2:15">
      <c r="B1319" s="83"/>
      <c r="C1319" s="84"/>
      <c r="D1319" s="85"/>
      <c r="E1319" s="85"/>
      <c r="F1319" s="86"/>
      <c r="G1319" s="86"/>
      <c r="H1319" s="87"/>
      <c r="I1319" s="86"/>
      <c r="J1319" s="87"/>
      <c r="K1319" s="86"/>
      <c r="L1319" s="86"/>
      <c r="M1319" s="87"/>
      <c r="N1319" s="86"/>
      <c r="O1319" s="87"/>
    </row>
    <row r="1320" spans="2:15">
      <c r="B1320" s="83"/>
      <c r="C1320" s="84"/>
      <c r="D1320" s="85"/>
      <c r="E1320" s="85"/>
      <c r="F1320" s="86"/>
      <c r="G1320" s="86"/>
      <c r="H1320" s="87"/>
      <c r="I1320" s="86"/>
      <c r="J1320" s="87"/>
      <c r="K1320" s="86"/>
      <c r="L1320" s="86"/>
      <c r="M1320" s="87"/>
      <c r="N1320" s="86"/>
      <c r="O1320" s="87"/>
    </row>
    <row r="1321" spans="2:15">
      <c r="B1321" s="83"/>
      <c r="C1321" s="84"/>
      <c r="D1321" s="85"/>
      <c r="E1321" s="85"/>
      <c r="F1321" s="86"/>
      <c r="G1321" s="86"/>
      <c r="H1321" s="87"/>
      <c r="I1321" s="86"/>
      <c r="J1321" s="87"/>
      <c r="K1321" s="86"/>
      <c r="L1321" s="86"/>
      <c r="M1321" s="87"/>
      <c r="N1321" s="86"/>
      <c r="O1321" s="87"/>
    </row>
    <row r="1322" spans="2:15">
      <c r="B1322" s="83"/>
      <c r="C1322" s="84"/>
      <c r="D1322" s="85"/>
      <c r="E1322" s="85"/>
      <c r="F1322" s="86"/>
      <c r="G1322" s="86"/>
      <c r="H1322" s="87"/>
      <c r="I1322" s="86"/>
      <c r="J1322" s="87"/>
      <c r="K1322" s="86"/>
      <c r="L1322" s="86"/>
      <c r="M1322" s="87"/>
      <c r="N1322" s="86"/>
      <c r="O1322" s="87"/>
    </row>
    <row r="1323" spans="2:15">
      <c r="B1323" s="83"/>
      <c r="C1323" s="84"/>
      <c r="D1323" s="85"/>
      <c r="E1323" s="85"/>
      <c r="F1323" s="86"/>
      <c r="G1323" s="86"/>
      <c r="H1323" s="87"/>
      <c r="I1323" s="86"/>
      <c r="J1323" s="87"/>
      <c r="K1323" s="86"/>
      <c r="L1323" s="86"/>
      <c r="M1323" s="87"/>
      <c r="N1323" s="86"/>
      <c r="O1323" s="87"/>
    </row>
    <row r="1324" spans="2:15">
      <c r="B1324" s="83"/>
      <c r="C1324" s="84"/>
      <c r="D1324" s="85"/>
      <c r="E1324" s="85"/>
      <c r="F1324" s="86"/>
      <c r="G1324" s="86"/>
      <c r="H1324" s="87"/>
      <c r="I1324" s="86"/>
      <c r="J1324" s="87"/>
      <c r="K1324" s="86"/>
      <c r="L1324" s="86"/>
      <c r="M1324" s="87"/>
      <c r="N1324" s="86"/>
      <c r="O1324" s="87"/>
    </row>
    <row r="1325" spans="2:15">
      <c r="B1325" s="83"/>
      <c r="C1325" s="84"/>
      <c r="D1325" s="85"/>
      <c r="E1325" s="85"/>
      <c r="F1325" s="86"/>
      <c r="G1325" s="86"/>
      <c r="H1325" s="87"/>
      <c r="I1325" s="86"/>
      <c r="J1325" s="87"/>
      <c r="K1325" s="86"/>
      <c r="L1325" s="86"/>
      <c r="M1325" s="87"/>
      <c r="N1325" s="86"/>
      <c r="O1325" s="87"/>
    </row>
    <row r="1326" spans="2:15">
      <c r="B1326" s="83"/>
      <c r="C1326" s="84"/>
      <c r="D1326" s="85"/>
      <c r="E1326" s="85"/>
      <c r="F1326" s="86"/>
      <c r="G1326" s="86"/>
      <c r="H1326" s="87"/>
      <c r="I1326" s="86"/>
      <c r="J1326" s="87"/>
      <c r="K1326" s="86"/>
      <c r="L1326" s="86"/>
      <c r="M1326" s="87"/>
      <c r="N1326" s="86"/>
      <c r="O1326" s="87"/>
    </row>
    <row r="1327" spans="2:15">
      <c r="B1327" s="83"/>
      <c r="C1327" s="84"/>
      <c r="D1327" s="85"/>
      <c r="E1327" s="85"/>
      <c r="F1327" s="86"/>
      <c r="G1327" s="86"/>
      <c r="H1327" s="87"/>
      <c r="I1327" s="86"/>
      <c r="J1327" s="87"/>
      <c r="K1327" s="86"/>
      <c r="L1327" s="86"/>
      <c r="M1327" s="87"/>
      <c r="N1327" s="86"/>
      <c r="O1327" s="87"/>
    </row>
    <row r="1328" spans="2:15">
      <c r="B1328" s="83"/>
      <c r="C1328" s="84"/>
      <c r="D1328" s="85"/>
      <c r="E1328" s="85"/>
      <c r="F1328" s="86"/>
      <c r="G1328" s="86"/>
      <c r="H1328" s="87"/>
      <c r="I1328" s="86"/>
      <c r="J1328" s="87"/>
      <c r="K1328" s="86"/>
      <c r="L1328" s="86"/>
      <c r="M1328" s="87"/>
      <c r="N1328" s="86"/>
      <c r="O1328" s="87"/>
    </row>
    <row r="1329" spans="2:15">
      <c r="B1329" s="83"/>
      <c r="C1329" s="84"/>
      <c r="D1329" s="85"/>
      <c r="E1329" s="85"/>
      <c r="F1329" s="86"/>
      <c r="G1329" s="86"/>
      <c r="H1329" s="87"/>
      <c r="I1329" s="86"/>
      <c r="J1329" s="87"/>
      <c r="K1329" s="86"/>
      <c r="L1329" s="86"/>
      <c r="M1329" s="87"/>
      <c r="N1329" s="86"/>
      <c r="O1329" s="87"/>
    </row>
    <row r="1330" spans="2:15">
      <c r="B1330" s="83"/>
      <c r="C1330" s="84"/>
      <c r="D1330" s="85"/>
      <c r="E1330" s="85"/>
      <c r="F1330" s="86"/>
      <c r="G1330" s="86"/>
      <c r="H1330" s="87"/>
      <c r="I1330" s="86"/>
      <c r="J1330" s="87"/>
      <c r="K1330" s="86"/>
      <c r="L1330" s="86"/>
      <c r="M1330" s="87"/>
      <c r="N1330" s="86"/>
      <c r="O1330" s="87"/>
    </row>
    <row r="1331" spans="2:15">
      <c r="B1331" s="83"/>
      <c r="C1331" s="84"/>
      <c r="D1331" s="85"/>
      <c r="E1331" s="85"/>
      <c r="F1331" s="86"/>
      <c r="G1331" s="86"/>
      <c r="H1331" s="87"/>
      <c r="I1331" s="86"/>
      <c r="J1331" s="87"/>
      <c r="K1331" s="86"/>
      <c r="L1331" s="86"/>
      <c r="M1331" s="87"/>
      <c r="N1331" s="86"/>
      <c r="O1331" s="87"/>
    </row>
    <row r="1332" spans="2:15">
      <c r="B1332" s="83"/>
      <c r="C1332" s="84"/>
      <c r="D1332" s="85"/>
      <c r="E1332" s="85"/>
      <c r="F1332" s="86"/>
      <c r="G1332" s="86"/>
      <c r="H1332" s="87"/>
      <c r="I1332" s="86"/>
      <c r="J1332" s="87"/>
      <c r="K1332" s="86"/>
      <c r="L1332" s="86"/>
      <c r="M1332" s="87"/>
      <c r="N1332" s="86"/>
      <c r="O1332" s="87"/>
    </row>
    <row r="1333" spans="2:15">
      <c r="B1333" s="83"/>
      <c r="C1333" s="84"/>
      <c r="D1333" s="85"/>
      <c r="E1333" s="85"/>
      <c r="F1333" s="86"/>
      <c r="G1333" s="86"/>
      <c r="H1333" s="87"/>
      <c r="I1333" s="86"/>
      <c r="J1333" s="87"/>
      <c r="K1333" s="86"/>
      <c r="L1333" s="86"/>
      <c r="M1333" s="87"/>
      <c r="N1333" s="86"/>
      <c r="O1333" s="87"/>
    </row>
    <row r="1334" spans="2:15">
      <c r="B1334" s="83"/>
      <c r="C1334" s="84"/>
      <c r="D1334" s="85"/>
      <c r="E1334" s="85"/>
      <c r="F1334" s="86"/>
      <c r="G1334" s="86"/>
      <c r="H1334" s="87"/>
      <c r="I1334" s="86"/>
      <c r="J1334" s="87"/>
      <c r="K1334" s="86"/>
      <c r="L1334" s="86"/>
      <c r="M1334" s="87"/>
      <c r="N1334" s="86"/>
      <c r="O1334" s="87"/>
    </row>
    <row r="1335" spans="2:15">
      <c r="B1335" s="83"/>
      <c r="C1335" s="84"/>
      <c r="D1335" s="85"/>
      <c r="E1335" s="85"/>
      <c r="F1335" s="86"/>
      <c r="G1335" s="86"/>
      <c r="H1335" s="87"/>
      <c r="I1335" s="86"/>
      <c r="J1335" s="87"/>
      <c r="K1335" s="86"/>
      <c r="L1335" s="86"/>
      <c r="M1335" s="87"/>
      <c r="N1335" s="86"/>
      <c r="O1335" s="87"/>
    </row>
    <row r="1336" spans="2:15">
      <c r="B1336" s="83"/>
      <c r="C1336" s="84"/>
      <c r="D1336" s="85"/>
      <c r="E1336" s="85"/>
      <c r="F1336" s="86"/>
      <c r="G1336" s="86"/>
      <c r="H1336" s="87"/>
      <c r="I1336" s="86"/>
      <c r="J1336" s="87"/>
      <c r="K1336" s="86"/>
      <c r="L1336" s="86"/>
      <c r="M1336" s="87"/>
      <c r="N1336" s="86"/>
      <c r="O1336" s="87"/>
    </row>
    <row r="1337" spans="2:15">
      <c r="B1337" s="83"/>
      <c r="C1337" s="84"/>
      <c r="D1337" s="85"/>
      <c r="E1337" s="85"/>
      <c r="F1337" s="86"/>
      <c r="G1337" s="86"/>
      <c r="H1337" s="87"/>
      <c r="I1337" s="86"/>
      <c r="J1337" s="87"/>
      <c r="K1337" s="86"/>
      <c r="L1337" s="86"/>
      <c r="M1337" s="87"/>
      <c r="N1337" s="86"/>
      <c r="O1337" s="87"/>
    </row>
    <row r="1338" spans="2:15">
      <c r="B1338" s="83"/>
      <c r="C1338" s="84"/>
      <c r="D1338" s="85"/>
      <c r="E1338" s="85"/>
      <c r="F1338" s="86"/>
      <c r="G1338" s="86"/>
      <c r="H1338" s="87"/>
      <c r="I1338" s="86"/>
      <c r="J1338" s="87"/>
      <c r="K1338" s="86"/>
      <c r="L1338" s="86"/>
      <c r="M1338" s="87"/>
      <c r="N1338" s="86"/>
      <c r="O1338" s="87"/>
    </row>
    <row r="1339" spans="2:15">
      <c r="B1339" s="83"/>
      <c r="C1339" s="84"/>
      <c r="D1339" s="85"/>
      <c r="E1339" s="85"/>
      <c r="F1339" s="86"/>
      <c r="G1339" s="86"/>
      <c r="H1339" s="87"/>
      <c r="I1339" s="86"/>
      <c r="J1339" s="87"/>
      <c r="K1339" s="86"/>
      <c r="L1339" s="86"/>
      <c r="M1339" s="87"/>
      <c r="N1339" s="86"/>
      <c r="O1339" s="87"/>
    </row>
    <row r="1340" spans="2:15">
      <c r="B1340" s="83"/>
      <c r="C1340" s="84"/>
      <c r="D1340" s="85"/>
      <c r="E1340" s="85"/>
      <c r="F1340" s="86"/>
      <c r="G1340" s="86"/>
      <c r="H1340" s="87"/>
      <c r="I1340" s="86"/>
      <c r="J1340" s="87"/>
      <c r="K1340" s="86"/>
      <c r="L1340" s="86"/>
      <c r="M1340" s="87"/>
      <c r="N1340" s="86"/>
      <c r="O1340" s="87"/>
    </row>
    <row r="1341" spans="2:15">
      <c r="B1341" s="83"/>
      <c r="C1341" s="84"/>
      <c r="D1341" s="85"/>
      <c r="E1341" s="85"/>
      <c r="F1341" s="86"/>
      <c r="G1341" s="86"/>
      <c r="H1341" s="87"/>
      <c r="I1341" s="86"/>
      <c r="J1341" s="87"/>
      <c r="K1341" s="86"/>
      <c r="L1341" s="86"/>
      <c r="M1341" s="87"/>
      <c r="N1341" s="86"/>
      <c r="O1341" s="87"/>
    </row>
    <row r="1342" spans="2:15">
      <c r="B1342" s="83"/>
      <c r="C1342" s="84"/>
      <c r="D1342" s="85"/>
      <c r="E1342" s="85"/>
      <c r="F1342" s="86"/>
      <c r="G1342" s="86"/>
      <c r="H1342" s="87"/>
      <c r="I1342" s="86"/>
      <c r="J1342" s="87"/>
      <c r="K1342" s="86"/>
      <c r="L1342" s="86"/>
      <c r="M1342" s="87"/>
      <c r="N1342" s="86"/>
      <c r="O1342" s="87"/>
    </row>
    <row r="1343" spans="2:15">
      <c r="B1343" s="83"/>
      <c r="C1343" s="84"/>
      <c r="D1343" s="85"/>
      <c r="E1343" s="85"/>
      <c r="F1343" s="86"/>
      <c r="G1343" s="86"/>
      <c r="H1343" s="87"/>
      <c r="I1343" s="86"/>
      <c r="J1343" s="87"/>
      <c r="K1343" s="86"/>
      <c r="L1343" s="86"/>
      <c r="M1343" s="87"/>
      <c r="N1343" s="86"/>
      <c r="O1343" s="87"/>
    </row>
    <row r="1344" spans="2:15">
      <c r="B1344" s="83"/>
      <c r="C1344" s="84"/>
      <c r="D1344" s="85"/>
      <c r="E1344" s="85"/>
      <c r="F1344" s="86"/>
      <c r="G1344" s="86"/>
      <c r="H1344" s="87"/>
      <c r="I1344" s="86"/>
      <c r="J1344" s="87"/>
      <c r="K1344" s="86"/>
      <c r="L1344" s="86"/>
      <c r="M1344" s="87"/>
      <c r="N1344" s="86"/>
      <c r="O1344" s="87"/>
    </row>
    <row r="1345" spans="2:15">
      <c r="B1345" s="83"/>
      <c r="C1345" s="84"/>
      <c r="D1345" s="85"/>
      <c r="E1345" s="85"/>
      <c r="F1345" s="86"/>
      <c r="G1345" s="86"/>
      <c r="H1345" s="87"/>
      <c r="I1345" s="86"/>
      <c r="J1345" s="87"/>
      <c r="K1345" s="86"/>
      <c r="L1345" s="86"/>
      <c r="M1345" s="87"/>
      <c r="N1345" s="86"/>
      <c r="O1345" s="87"/>
    </row>
    <row r="1346" spans="2:15">
      <c r="B1346" s="83"/>
      <c r="C1346" s="84"/>
      <c r="D1346" s="85"/>
      <c r="E1346" s="85"/>
      <c r="F1346" s="86"/>
      <c r="G1346" s="86"/>
      <c r="H1346" s="87"/>
      <c r="I1346" s="86"/>
      <c r="J1346" s="87"/>
      <c r="K1346" s="86"/>
      <c r="L1346" s="86"/>
      <c r="M1346" s="87"/>
      <c r="N1346" s="86"/>
      <c r="O1346" s="87"/>
    </row>
    <row r="1347" spans="2:15">
      <c r="B1347" s="83"/>
      <c r="C1347" s="84"/>
      <c r="D1347" s="85"/>
      <c r="E1347" s="85"/>
      <c r="F1347" s="86"/>
      <c r="G1347" s="86"/>
      <c r="H1347" s="87"/>
      <c r="I1347" s="86"/>
      <c r="J1347" s="87"/>
      <c r="K1347" s="86"/>
      <c r="L1347" s="86"/>
      <c r="M1347" s="87"/>
      <c r="N1347" s="86"/>
      <c r="O1347" s="87"/>
    </row>
    <row r="1348" spans="2:15">
      <c r="B1348" s="83"/>
      <c r="C1348" s="84"/>
      <c r="D1348" s="85"/>
      <c r="E1348" s="85"/>
      <c r="F1348" s="86"/>
      <c r="G1348" s="86"/>
      <c r="H1348" s="87"/>
      <c r="I1348" s="86"/>
      <c r="J1348" s="87"/>
      <c r="K1348" s="86"/>
      <c r="L1348" s="86"/>
      <c r="M1348" s="87"/>
      <c r="N1348" s="86"/>
      <c r="O1348" s="87"/>
    </row>
    <row r="1349" spans="2:15">
      <c r="B1349" s="83"/>
      <c r="C1349" s="84"/>
      <c r="D1349" s="85"/>
      <c r="E1349" s="85"/>
      <c r="F1349" s="86"/>
      <c r="G1349" s="86"/>
      <c r="H1349" s="87"/>
      <c r="I1349" s="86"/>
      <c r="J1349" s="87"/>
      <c r="K1349" s="86"/>
      <c r="L1349" s="86"/>
      <c r="M1349" s="87"/>
      <c r="N1349" s="86"/>
      <c r="O1349" s="87"/>
    </row>
    <row r="1350" spans="2:15">
      <c r="B1350" s="83"/>
      <c r="C1350" s="84"/>
      <c r="D1350" s="85"/>
      <c r="E1350" s="85"/>
      <c r="F1350" s="86"/>
      <c r="G1350" s="86"/>
      <c r="H1350" s="87"/>
      <c r="I1350" s="86"/>
      <c r="J1350" s="87"/>
      <c r="K1350" s="86"/>
      <c r="L1350" s="86"/>
      <c r="M1350" s="87"/>
      <c r="N1350" s="86"/>
      <c r="O1350" s="87"/>
    </row>
    <row r="1351" spans="2:15">
      <c r="B1351" s="83"/>
      <c r="C1351" s="84"/>
      <c r="D1351" s="85"/>
      <c r="E1351" s="85"/>
      <c r="F1351" s="86"/>
      <c r="G1351" s="86"/>
      <c r="H1351" s="87"/>
      <c r="I1351" s="86"/>
      <c r="J1351" s="87"/>
      <c r="K1351" s="86"/>
      <c r="L1351" s="86"/>
      <c r="M1351" s="87"/>
      <c r="N1351" s="86"/>
      <c r="O1351" s="87"/>
    </row>
    <row r="1352" spans="2:15">
      <c r="B1352" s="83"/>
      <c r="C1352" s="84"/>
      <c r="D1352" s="85"/>
      <c r="E1352" s="85"/>
      <c r="F1352" s="86"/>
      <c r="G1352" s="86"/>
      <c r="H1352" s="87"/>
      <c r="I1352" s="86"/>
      <c r="J1352" s="87"/>
      <c r="K1352" s="86"/>
      <c r="L1352" s="86"/>
      <c r="M1352" s="87"/>
      <c r="N1352" s="86"/>
      <c r="O1352" s="87"/>
    </row>
    <row r="1353" spans="2:15">
      <c r="B1353" s="83"/>
      <c r="C1353" s="84"/>
      <c r="D1353" s="85"/>
      <c r="E1353" s="85"/>
      <c r="F1353" s="86"/>
      <c r="G1353" s="86"/>
      <c r="H1353" s="87"/>
      <c r="I1353" s="86"/>
      <c r="J1353" s="87"/>
      <c r="K1353" s="86"/>
      <c r="L1353" s="86"/>
      <c r="M1353" s="87"/>
      <c r="N1353" s="86"/>
      <c r="O1353" s="87"/>
    </row>
    <row r="1354" spans="2:15">
      <c r="B1354" s="83"/>
      <c r="C1354" s="84"/>
      <c r="D1354" s="85"/>
      <c r="E1354" s="85"/>
      <c r="F1354" s="86"/>
      <c r="G1354" s="86"/>
      <c r="H1354" s="87"/>
      <c r="I1354" s="86"/>
      <c r="J1354" s="87"/>
      <c r="K1354" s="86"/>
      <c r="L1354" s="86"/>
      <c r="M1354" s="87"/>
      <c r="N1354" s="86"/>
      <c r="O1354" s="87"/>
    </row>
    <row r="1355" spans="2:15">
      <c r="B1355" s="83"/>
      <c r="C1355" s="84"/>
      <c r="D1355" s="85"/>
      <c r="E1355" s="85"/>
      <c r="F1355" s="86"/>
      <c r="G1355" s="86"/>
      <c r="H1355" s="87"/>
      <c r="I1355" s="86"/>
      <c r="J1355" s="87"/>
      <c r="K1355" s="86"/>
      <c r="L1355" s="86"/>
      <c r="M1355" s="87"/>
      <c r="N1355" s="86"/>
      <c r="O1355" s="87"/>
    </row>
    <row r="1356" spans="2:15">
      <c r="B1356" s="83"/>
      <c r="C1356" s="84"/>
      <c r="D1356" s="85"/>
      <c r="E1356" s="85"/>
      <c r="F1356" s="86"/>
      <c r="G1356" s="86"/>
      <c r="H1356" s="87"/>
      <c r="I1356" s="86"/>
      <c r="J1356" s="87"/>
      <c r="K1356" s="86"/>
      <c r="L1356" s="86"/>
      <c r="M1356" s="87"/>
      <c r="N1356" s="86"/>
      <c r="O1356" s="87"/>
    </row>
    <row r="1357" spans="2:15">
      <c r="B1357" s="83"/>
      <c r="C1357" s="84"/>
      <c r="D1357" s="85"/>
      <c r="E1357" s="85"/>
      <c r="F1357" s="86"/>
      <c r="G1357" s="86"/>
      <c r="H1357" s="87"/>
      <c r="I1357" s="86"/>
      <c r="J1357" s="87"/>
      <c r="K1357" s="86"/>
      <c r="L1357" s="86"/>
      <c r="M1357" s="87"/>
      <c r="N1357" s="86"/>
      <c r="O1357" s="87"/>
    </row>
    <row r="1358" spans="2:15">
      <c r="B1358" s="83"/>
      <c r="C1358" s="84"/>
      <c r="D1358" s="85"/>
      <c r="E1358" s="85"/>
      <c r="F1358" s="86"/>
      <c r="G1358" s="86"/>
      <c r="H1358" s="87"/>
      <c r="I1358" s="86"/>
      <c r="J1358" s="87"/>
      <c r="K1358" s="86"/>
      <c r="L1358" s="86"/>
      <c r="M1358" s="87"/>
      <c r="N1358" s="86"/>
      <c r="O1358" s="87"/>
    </row>
    <row r="1359" spans="2:15">
      <c r="B1359" s="83"/>
      <c r="C1359" s="84"/>
      <c r="D1359" s="85"/>
      <c r="E1359" s="85"/>
      <c r="F1359" s="86"/>
      <c r="G1359" s="86"/>
      <c r="H1359" s="87"/>
      <c r="I1359" s="86"/>
      <c r="J1359" s="87"/>
      <c r="K1359" s="86"/>
      <c r="L1359" s="86"/>
      <c r="M1359" s="87"/>
      <c r="N1359" s="86"/>
      <c r="O1359" s="87"/>
    </row>
    <row r="1360" spans="2:15">
      <c r="B1360" s="83"/>
      <c r="C1360" s="84"/>
      <c r="D1360" s="85"/>
      <c r="E1360" s="85"/>
      <c r="F1360" s="86"/>
      <c r="G1360" s="86"/>
      <c r="H1360" s="87"/>
      <c r="I1360" s="86"/>
      <c r="J1360" s="87"/>
      <c r="K1360" s="86"/>
      <c r="L1360" s="86"/>
      <c r="M1360" s="87"/>
      <c r="N1360" s="86"/>
      <c r="O1360" s="87"/>
    </row>
    <row r="1361" spans="2:15">
      <c r="B1361" s="83"/>
      <c r="C1361" s="84"/>
      <c r="D1361" s="85"/>
      <c r="E1361" s="85"/>
      <c r="F1361" s="86"/>
      <c r="G1361" s="86"/>
      <c r="H1361" s="87"/>
      <c r="I1361" s="86"/>
      <c r="J1361" s="87"/>
      <c r="K1361" s="86"/>
      <c r="L1361" s="86"/>
      <c r="M1361" s="87"/>
      <c r="N1361" s="86"/>
      <c r="O1361" s="87"/>
    </row>
    <row r="1362" spans="2:15">
      <c r="B1362" s="83"/>
      <c r="C1362" s="84"/>
      <c r="D1362" s="85"/>
      <c r="E1362" s="85"/>
      <c r="F1362" s="86"/>
      <c r="G1362" s="86"/>
      <c r="H1362" s="87"/>
      <c r="I1362" s="86"/>
      <c r="J1362" s="87"/>
      <c r="K1362" s="86"/>
      <c r="L1362" s="86"/>
      <c r="M1362" s="87"/>
      <c r="N1362" s="86"/>
      <c r="O1362" s="87"/>
    </row>
    <row r="1363" spans="2:15">
      <c r="B1363" s="83"/>
      <c r="C1363" s="84"/>
      <c r="D1363" s="85"/>
      <c r="E1363" s="85"/>
      <c r="F1363" s="86"/>
      <c r="G1363" s="86"/>
      <c r="H1363" s="87"/>
      <c r="I1363" s="86"/>
      <c r="J1363" s="87"/>
      <c r="K1363" s="86"/>
      <c r="L1363" s="86"/>
      <c r="M1363" s="87"/>
      <c r="N1363" s="86"/>
      <c r="O1363" s="87"/>
    </row>
    <row r="1364" spans="2:15">
      <c r="B1364" s="83"/>
      <c r="C1364" s="84"/>
      <c r="D1364" s="85"/>
      <c r="E1364" s="85"/>
      <c r="F1364" s="86"/>
      <c r="G1364" s="86"/>
      <c r="H1364" s="87"/>
      <c r="I1364" s="86"/>
      <c r="J1364" s="87"/>
      <c r="K1364" s="86"/>
      <c r="L1364" s="86"/>
      <c r="M1364" s="87"/>
      <c r="N1364" s="86"/>
      <c r="O1364" s="87"/>
    </row>
    <row r="1365" spans="2:15">
      <c r="B1365" s="83"/>
      <c r="C1365" s="84"/>
      <c r="D1365" s="85"/>
      <c r="E1365" s="85"/>
      <c r="F1365" s="86"/>
      <c r="G1365" s="86"/>
      <c r="H1365" s="87"/>
      <c r="I1365" s="86"/>
      <c r="J1365" s="87"/>
      <c r="K1365" s="86"/>
      <c r="L1365" s="86"/>
      <c r="M1365" s="87"/>
      <c r="N1365" s="86"/>
      <c r="O1365" s="87"/>
    </row>
    <row r="1366" spans="2:15">
      <c r="B1366" s="83"/>
      <c r="C1366" s="84"/>
      <c r="D1366" s="85"/>
      <c r="E1366" s="85"/>
      <c r="F1366" s="86"/>
      <c r="G1366" s="86"/>
      <c r="H1366" s="87"/>
      <c r="I1366" s="86"/>
      <c r="J1366" s="87"/>
      <c r="K1366" s="86"/>
      <c r="L1366" s="86"/>
      <c r="M1366" s="87"/>
      <c r="N1366" s="86"/>
      <c r="O1366" s="87"/>
    </row>
    <row r="1367" spans="2:15">
      <c r="B1367" s="83"/>
      <c r="C1367" s="84"/>
      <c r="D1367" s="85"/>
      <c r="E1367" s="85"/>
      <c r="F1367" s="86"/>
      <c r="G1367" s="86"/>
      <c r="H1367" s="87"/>
      <c r="I1367" s="86"/>
      <c r="J1367" s="87"/>
      <c r="K1367" s="86"/>
      <c r="L1367" s="86"/>
      <c r="M1367" s="87"/>
      <c r="N1367" s="86"/>
      <c r="O1367" s="87"/>
    </row>
    <row r="1368" spans="2:15">
      <c r="B1368" s="83"/>
      <c r="C1368" s="84"/>
      <c r="D1368" s="85"/>
      <c r="E1368" s="85"/>
      <c r="F1368" s="86"/>
      <c r="G1368" s="86"/>
      <c r="H1368" s="87"/>
      <c r="I1368" s="86"/>
      <c r="J1368" s="87"/>
      <c r="K1368" s="86"/>
      <c r="L1368" s="86"/>
      <c r="M1368" s="87"/>
      <c r="N1368" s="86"/>
      <c r="O1368" s="87"/>
    </row>
    <row r="1369" spans="2:15">
      <c r="B1369" s="83"/>
      <c r="C1369" s="84"/>
      <c r="D1369" s="85"/>
      <c r="E1369" s="85"/>
      <c r="F1369" s="86"/>
      <c r="G1369" s="86"/>
      <c r="H1369" s="87"/>
      <c r="I1369" s="86"/>
      <c r="J1369" s="87"/>
      <c r="K1369" s="86"/>
      <c r="L1369" s="86"/>
      <c r="M1369" s="87"/>
      <c r="N1369" s="86"/>
      <c r="O1369" s="87"/>
    </row>
    <row r="1370" spans="2:15">
      <c r="B1370" s="83"/>
      <c r="C1370" s="84"/>
      <c r="D1370" s="85"/>
      <c r="E1370" s="85"/>
      <c r="F1370" s="86"/>
      <c r="G1370" s="86"/>
      <c r="H1370" s="87"/>
      <c r="I1370" s="86"/>
      <c r="J1370" s="87"/>
      <c r="K1370" s="86"/>
      <c r="L1370" s="86"/>
      <c r="M1370" s="87"/>
      <c r="N1370" s="86"/>
      <c r="O1370" s="87"/>
    </row>
    <row r="1371" spans="2:15">
      <c r="B1371" s="83"/>
      <c r="C1371" s="84"/>
      <c r="D1371" s="85"/>
      <c r="E1371" s="85"/>
      <c r="F1371" s="86"/>
      <c r="G1371" s="86"/>
      <c r="H1371" s="87"/>
      <c r="I1371" s="86"/>
      <c r="J1371" s="87"/>
      <c r="K1371" s="86"/>
      <c r="L1371" s="86"/>
      <c r="M1371" s="87"/>
      <c r="N1371" s="86"/>
      <c r="O1371" s="87"/>
    </row>
    <row r="1372" spans="2:15">
      <c r="B1372" s="83"/>
      <c r="C1372" s="84"/>
      <c r="D1372" s="85"/>
      <c r="E1372" s="85"/>
      <c r="F1372" s="86"/>
      <c r="G1372" s="86"/>
      <c r="H1372" s="87"/>
      <c r="I1372" s="86"/>
      <c r="J1372" s="87"/>
      <c r="K1372" s="86"/>
      <c r="L1372" s="86"/>
      <c r="M1372" s="87"/>
      <c r="N1372" s="86"/>
      <c r="O1372" s="87"/>
    </row>
    <row r="1373" spans="2:15">
      <c r="B1373" s="83"/>
      <c r="C1373" s="84"/>
      <c r="D1373" s="85"/>
      <c r="E1373" s="85"/>
      <c r="F1373" s="86"/>
      <c r="G1373" s="86"/>
      <c r="H1373" s="87"/>
      <c r="I1373" s="86"/>
      <c r="J1373" s="87"/>
      <c r="K1373" s="86"/>
      <c r="L1373" s="86"/>
      <c r="M1373" s="87"/>
      <c r="N1373" s="86"/>
      <c r="O1373" s="87"/>
    </row>
    <row r="1374" spans="2:15">
      <c r="B1374" s="83"/>
      <c r="C1374" s="84"/>
      <c r="D1374" s="85"/>
      <c r="E1374" s="85"/>
      <c r="F1374" s="86"/>
      <c r="G1374" s="86"/>
      <c r="H1374" s="87"/>
      <c r="I1374" s="86"/>
      <c r="J1374" s="87"/>
      <c r="K1374" s="86"/>
      <c r="L1374" s="86"/>
      <c r="M1374" s="87"/>
      <c r="N1374" s="86"/>
      <c r="O1374" s="87"/>
    </row>
    <row r="1375" spans="2:15">
      <c r="B1375" s="83"/>
      <c r="C1375" s="84"/>
      <c r="D1375" s="85"/>
      <c r="E1375" s="85"/>
      <c r="F1375" s="86"/>
      <c r="G1375" s="86"/>
      <c r="H1375" s="87"/>
      <c r="I1375" s="86"/>
      <c r="J1375" s="87"/>
      <c r="K1375" s="86"/>
      <c r="L1375" s="86"/>
      <c r="M1375" s="87"/>
      <c r="N1375" s="86"/>
      <c r="O1375" s="87"/>
    </row>
    <row r="1376" spans="2:15">
      <c r="B1376" s="83"/>
      <c r="C1376" s="84"/>
      <c r="D1376" s="85"/>
      <c r="E1376" s="85"/>
      <c r="F1376" s="86"/>
      <c r="G1376" s="86"/>
      <c r="H1376" s="87"/>
      <c r="I1376" s="86"/>
      <c r="J1376" s="87"/>
      <c r="K1376" s="86"/>
      <c r="L1376" s="86"/>
      <c r="M1376" s="87"/>
      <c r="N1376" s="86"/>
      <c r="O1376" s="87"/>
    </row>
    <row r="1377" spans="2:15">
      <c r="B1377" s="83"/>
      <c r="C1377" s="84"/>
      <c r="D1377" s="85"/>
      <c r="E1377" s="85"/>
      <c r="F1377" s="86"/>
      <c r="G1377" s="86"/>
      <c r="H1377" s="87"/>
      <c r="I1377" s="86"/>
      <c r="J1377" s="87"/>
      <c r="K1377" s="86"/>
      <c r="L1377" s="86"/>
      <c r="M1377" s="87"/>
      <c r="N1377" s="86"/>
      <c r="O1377" s="87"/>
    </row>
    <row r="1378" spans="2:15">
      <c r="B1378" s="83"/>
      <c r="C1378" s="84"/>
      <c r="D1378" s="85"/>
      <c r="E1378" s="85"/>
      <c r="F1378" s="86"/>
      <c r="G1378" s="86"/>
      <c r="H1378" s="87"/>
      <c r="I1378" s="86"/>
      <c r="J1378" s="87"/>
      <c r="K1378" s="86"/>
      <c r="L1378" s="86"/>
      <c r="M1378" s="87"/>
      <c r="N1378" s="86"/>
      <c r="O1378" s="87"/>
    </row>
    <row r="1379" spans="2:15">
      <c r="B1379" s="83"/>
      <c r="C1379" s="84"/>
      <c r="D1379" s="85"/>
      <c r="E1379" s="85"/>
      <c r="F1379" s="86"/>
      <c r="G1379" s="86"/>
      <c r="H1379" s="87"/>
      <c r="I1379" s="86"/>
      <c r="J1379" s="87"/>
      <c r="K1379" s="86"/>
      <c r="L1379" s="86"/>
      <c r="M1379" s="87"/>
      <c r="N1379" s="86"/>
      <c r="O1379" s="87"/>
    </row>
    <row r="1380" spans="2:15">
      <c r="B1380" s="83"/>
      <c r="C1380" s="84"/>
      <c r="D1380" s="85"/>
      <c r="E1380" s="85"/>
      <c r="F1380" s="86"/>
      <c r="G1380" s="86"/>
      <c r="H1380" s="87"/>
      <c r="I1380" s="86"/>
      <c r="J1380" s="87"/>
      <c r="K1380" s="86"/>
      <c r="L1380" s="86"/>
      <c r="M1380" s="87"/>
      <c r="N1380" s="86"/>
      <c r="O1380" s="87"/>
    </row>
    <row r="1381" spans="2:15">
      <c r="B1381" s="83"/>
      <c r="C1381" s="84"/>
      <c r="D1381" s="85"/>
      <c r="E1381" s="85"/>
      <c r="F1381" s="86"/>
      <c r="G1381" s="86"/>
      <c r="H1381" s="87"/>
      <c r="I1381" s="86"/>
      <c r="J1381" s="87"/>
      <c r="K1381" s="86"/>
      <c r="L1381" s="86"/>
      <c r="M1381" s="87"/>
      <c r="N1381" s="86"/>
      <c r="O1381" s="87"/>
    </row>
    <row r="1382" spans="2:15">
      <c r="B1382" s="83"/>
      <c r="C1382" s="84"/>
      <c r="D1382" s="85"/>
      <c r="E1382" s="85"/>
      <c r="F1382" s="86"/>
      <c r="G1382" s="86"/>
      <c r="H1382" s="87"/>
      <c r="I1382" s="86"/>
      <c r="J1382" s="87"/>
      <c r="K1382" s="86"/>
      <c r="L1382" s="86"/>
      <c r="M1382" s="87"/>
      <c r="N1382" s="86"/>
      <c r="O1382" s="87"/>
    </row>
    <row r="1383" spans="2:15">
      <c r="B1383" s="83"/>
      <c r="C1383" s="84"/>
      <c r="D1383" s="85"/>
      <c r="E1383" s="85"/>
      <c r="F1383" s="86"/>
      <c r="G1383" s="86"/>
      <c r="H1383" s="87"/>
      <c r="I1383" s="86"/>
      <c r="J1383" s="87"/>
      <c r="K1383" s="86"/>
      <c r="L1383" s="86"/>
      <c r="M1383" s="87"/>
      <c r="N1383" s="86"/>
      <c r="O1383" s="87"/>
    </row>
    <row r="1384" spans="2:15">
      <c r="B1384" s="83"/>
      <c r="C1384" s="84"/>
      <c r="D1384" s="85"/>
      <c r="E1384" s="85"/>
      <c r="F1384" s="86"/>
      <c r="G1384" s="86"/>
      <c r="H1384" s="87"/>
      <c r="I1384" s="86"/>
      <c r="J1384" s="87"/>
      <c r="K1384" s="86"/>
      <c r="L1384" s="86"/>
      <c r="M1384" s="87"/>
      <c r="N1384" s="86"/>
      <c r="O1384" s="87"/>
    </row>
    <row r="1385" spans="2:15">
      <c r="B1385" s="83"/>
      <c r="C1385" s="84"/>
      <c r="D1385" s="85"/>
      <c r="E1385" s="85"/>
      <c r="F1385" s="86"/>
      <c r="G1385" s="86"/>
      <c r="H1385" s="87"/>
      <c r="I1385" s="86"/>
      <c r="J1385" s="87"/>
      <c r="K1385" s="86"/>
      <c r="L1385" s="86"/>
      <c r="M1385" s="87"/>
      <c r="N1385" s="86"/>
      <c r="O1385" s="87"/>
    </row>
    <row r="1386" spans="2:15">
      <c r="B1386" s="83"/>
      <c r="C1386" s="84"/>
      <c r="D1386" s="85"/>
      <c r="E1386" s="85"/>
      <c r="F1386" s="86"/>
      <c r="G1386" s="86"/>
      <c r="H1386" s="87"/>
      <c r="I1386" s="86"/>
      <c r="J1386" s="87"/>
      <c r="K1386" s="86"/>
      <c r="L1386" s="86"/>
      <c r="M1386" s="87"/>
      <c r="N1386" s="86"/>
      <c r="O1386" s="87"/>
    </row>
    <row r="1387" spans="2:15">
      <c r="B1387" s="83"/>
      <c r="C1387" s="84"/>
      <c r="D1387" s="85"/>
      <c r="E1387" s="85"/>
      <c r="F1387" s="86"/>
      <c r="G1387" s="86"/>
      <c r="H1387" s="87"/>
      <c r="I1387" s="86"/>
      <c r="J1387" s="87"/>
      <c r="K1387" s="86"/>
      <c r="L1387" s="86"/>
      <c r="M1387" s="87"/>
      <c r="N1387" s="86"/>
      <c r="O1387" s="87"/>
    </row>
    <row r="1388" spans="2:15">
      <c r="B1388" s="83"/>
      <c r="C1388" s="84"/>
      <c r="D1388" s="85"/>
      <c r="E1388" s="85"/>
      <c r="F1388" s="86"/>
      <c r="G1388" s="86"/>
      <c r="H1388" s="87"/>
      <c r="I1388" s="86"/>
      <c r="J1388" s="87"/>
      <c r="K1388" s="86"/>
      <c r="L1388" s="86"/>
      <c r="M1388" s="87"/>
      <c r="N1388" s="86"/>
      <c r="O1388" s="87"/>
    </row>
    <row r="1389" spans="2:15">
      <c r="B1389" s="83"/>
      <c r="C1389" s="84"/>
      <c r="D1389" s="85"/>
      <c r="E1389" s="85"/>
      <c r="F1389" s="86"/>
      <c r="G1389" s="86"/>
      <c r="H1389" s="87"/>
      <c r="I1389" s="86"/>
      <c r="J1389" s="87"/>
      <c r="K1389" s="86"/>
      <c r="L1389" s="86"/>
      <c r="M1389" s="87"/>
      <c r="N1389" s="86"/>
      <c r="O1389" s="87"/>
    </row>
    <row r="1390" spans="2:15">
      <c r="B1390" s="83"/>
      <c r="C1390" s="84"/>
      <c r="D1390" s="85"/>
      <c r="E1390" s="85"/>
      <c r="F1390" s="86"/>
      <c r="G1390" s="86"/>
      <c r="H1390" s="87"/>
      <c r="I1390" s="86"/>
      <c r="J1390" s="87"/>
      <c r="K1390" s="86"/>
      <c r="L1390" s="86"/>
      <c r="M1390" s="87"/>
      <c r="N1390" s="86"/>
      <c r="O1390" s="87"/>
    </row>
    <row r="1391" spans="2:15">
      <c r="B1391" s="83"/>
      <c r="C1391" s="84"/>
      <c r="D1391" s="85"/>
      <c r="E1391" s="85"/>
      <c r="F1391" s="86"/>
      <c r="G1391" s="86"/>
      <c r="H1391" s="87"/>
      <c r="I1391" s="86"/>
      <c r="J1391" s="87"/>
      <c r="K1391" s="86"/>
      <c r="L1391" s="86"/>
      <c r="M1391" s="87"/>
      <c r="N1391" s="86"/>
      <c r="O1391" s="87"/>
    </row>
    <row r="1392" spans="2:15">
      <c r="B1392" s="83"/>
      <c r="C1392" s="84"/>
      <c r="D1392" s="85"/>
      <c r="E1392" s="85"/>
      <c r="F1392" s="86"/>
      <c r="G1392" s="86"/>
      <c r="H1392" s="87"/>
      <c r="I1392" s="86"/>
      <c r="J1392" s="87"/>
      <c r="K1392" s="86"/>
      <c r="L1392" s="86"/>
      <c r="M1392" s="87"/>
      <c r="N1392" s="86"/>
      <c r="O1392" s="87"/>
    </row>
    <row r="1393" spans="2:15">
      <c r="B1393" s="83"/>
      <c r="C1393" s="84"/>
      <c r="D1393" s="85"/>
      <c r="E1393" s="85"/>
      <c r="F1393" s="86"/>
      <c r="G1393" s="86"/>
      <c r="H1393" s="87"/>
      <c r="I1393" s="86"/>
      <c r="J1393" s="87"/>
      <c r="K1393" s="86"/>
      <c r="L1393" s="86"/>
      <c r="M1393" s="87"/>
      <c r="N1393" s="86"/>
      <c r="O1393" s="87"/>
    </row>
    <row r="1394" spans="2:15">
      <c r="B1394" s="83"/>
      <c r="C1394" s="84"/>
      <c r="D1394" s="85"/>
      <c r="E1394" s="85"/>
      <c r="F1394" s="86"/>
      <c r="G1394" s="86"/>
      <c r="H1394" s="87"/>
      <c r="I1394" s="86"/>
      <c r="J1394" s="87"/>
      <c r="K1394" s="86"/>
      <c r="L1394" s="86"/>
      <c r="M1394" s="87"/>
      <c r="N1394" s="86"/>
      <c r="O1394" s="87"/>
    </row>
    <row r="1395" spans="2:15">
      <c r="B1395" s="83"/>
      <c r="C1395" s="84"/>
      <c r="D1395" s="85"/>
      <c r="E1395" s="85"/>
      <c r="F1395" s="86"/>
      <c r="G1395" s="86"/>
      <c r="H1395" s="87"/>
      <c r="I1395" s="86"/>
      <c r="J1395" s="87"/>
      <c r="K1395" s="86"/>
      <c r="L1395" s="86"/>
      <c r="M1395" s="87"/>
      <c r="N1395" s="86"/>
      <c r="O1395" s="87"/>
    </row>
    <row r="1396" spans="2:15">
      <c r="B1396" s="83"/>
      <c r="C1396" s="84"/>
      <c r="D1396" s="85"/>
      <c r="E1396" s="85"/>
      <c r="F1396" s="86"/>
      <c r="G1396" s="86"/>
      <c r="H1396" s="87"/>
      <c r="I1396" s="86"/>
      <c r="J1396" s="87"/>
      <c r="K1396" s="86"/>
      <c r="L1396" s="86"/>
      <c r="M1396" s="87"/>
      <c r="N1396" s="86"/>
      <c r="O1396" s="87"/>
    </row>
    <row r="1397" spans="2:15">
      <c r="B1397" s="83"/>
      <c r="C1397" s="84"/>
      <c r="D1397" s="85"/>
      <c r="E1397" s="85"/>
      <c r="F1397" s="86"/>
      <c r="G1397" s="86"/>
      <c r="H1397" s="87"/>
      <c r="I1397" s="86"/>
      <c r="J1397" s="87"/>
      <c r="K1397" s="86"/>
      <c r="L1397" s="86"/>
      <c r="M1397" s="87"/>
      <c r="N1397" s="86"/>
      <c r="O1397" s="87"/>
    </row>
    <row r="1398" spans="2:15">
      <c r="B1398" s="83"/>
      <c r="C1398" s="84"/>
      <c r="D1398" s="85"/>
      <c r="E1398" s="85"/>
      <c r="F1398" s="86"/>
      <c r="G1398" s="86"/>
      <c r="H1398" s="87"/>
      <c r="I1398" s="86"/>
      <c r="J1398" s="87"/>
      <c r="K1398" s="86"/>
      <c r="L1398" s="86"/>
      <c r="M1398" s="87"/>
      <c r="N1398" s="86"/>
      <c r="O1398" s="87"/>
    </row>
    <row r="1399" spans="2:15">
      <c r="B1399" s="83"/>
      <c r="C1399" s="84"/>
      <c r="D1399" s="85"/>
      <c r="E1399" s="85"/>
      <c r="F1399" s="86"/>
      <c r="G1399" s="86"/>
      <c r="H1399" s="87"/>
      <c r="I1399" s="86"/>
      <c r="J1399" s="87"/>
      <c r="K1399" s="86"/>
      <c r="L1399" s="86"/>
      <c r="M1399" s="87"/>
      <c r="N1399" s="86"/>
      <c r="O1399" s="87"/>
    </row>
    <row r="1400" spans="2:15">
      <c r="B1400" s="83"/>
      <c r="C1400" s="84"/>
      <c r="D1400" s="85"/>
      <c r="E1400" s="85"/>
      <c r="F1400" s="86"/>
      <c r="G1400" s="86"/>
      <c r="H1400" s="87"/>
      <c r="I1400" s="86"/>
      <c r="J1400" s="87"/>
      <c r="K1400" s="86"/>
      <c r="L1400" s="86"/>
      <c r="M1400" s="87"/>
      <c r="N1400" s="86"/>
      <c r="O1400" s="87"/>
    </row>
    <row r="1401" spans="2:15">
      <c r="B1401" s="83"/>
      <c r="C1401" s="84"/>
      <c r="D1401" s="85"/>
      <c r="E1401" s="85"/>
      <c r="F1401" s="86"/>
      <c r="G1401" s="86"/>
      <c r="H1401" s="87"/>
      <c r="I1401" s="86"/>
      <c r="J1401" s="87"/>
      <c r="K1401" s="86"/>
      <c r="L1401" s="86"/>
      <c r="M1401" s="87"/>
      <c r="N1401" s="86"/>
      <c r="O1401" s="87"/>
    </row>
    <row r="1402" spans="2:15">
      <c r="B1402" s="83"/>
      <c r="C1402" s="84"/>
      <c r="D1402" s="85"/>
      <c r="E1402" s="85"/>
      <c r="F1402" s="86"/>
      <c r="G1402" s="86"/>
      <c r="H1402" s="87"/>
      <c r="I1402" s="86"/>
      <c r="J1402" s="87"/>
      <c r="K1402" s="86"/>
      <c r="L1402" s="86"/>
      <c r="M1402" s="87"/>
      <c r="N1402" s="86"/>
      <c r="O1402" s="87"/>
    </row>
    <row r="1403" spans="2:15">
      <c r="B1403" s="83"/>
      <c r="C1403" s="84"/>
      <c r="D1403" s="85"/>
      <c r="E1403" s="85"/>
      <c r="F1403" s="86"/>
      <c r="G1403" s="86"/>
      <c r="H1403" s="87"/>
      <c r="I1403" s="86"/>
      <c r="J1403" s="87"/>
      <c r="K1403" s="86"/>
      <c r="L1403" s="86"/>
      <c r="M1403" s="87"/>
      <c r="N1403" s="86"/>
      <c r="O1403" s="87"/>
    </row>
    <row r="1404" spans="2:15">
      <c r="B1404" s="83"/>
      <c r="C1404" s="84"/>
      <c r="D1404" s="85"/>
      <c r="E1404" s="85"/>
      <c r="F1404" s="86"/>
      <c r="G1404" s="86"/>
      <c r="H1404" s="87"/>
      <c r="I1404" s="86"/>
      <c r="J1404" s="87"/>
      <c r="K1404" s="86"/>
      <c r="L1404" s="86"/>
      <c r="M1404" s="87"/>
      <c r="N1404" s="86"/>
      <c r="O1404" s="87"/>
    </row>
    <row r="1405" spans="2:15">
      <c r="B1405" s="83"/>
      <c r="C1405" s="84"/>
      <c r="D1405" s="85"/>
      <c r="E1405" s="85"/>
      <c r="F1405" s="86"/>
      <c r="G1405" s="86"/>
      <c r="H1405" s="87"/>
      <c r="I1405" s="86"/>
      <c r="J1405" s="87"/>
      <c r="K1405" s="86"/>
      <c r="L1405" s="86"/>
      <c r="M1405" s="87"/>
      <c r="N1405" s="86"/>
      <c r="O1405" s="87"/>
    </row>
    <row r="1406" spans="2:15">
      <c r="B1406" s="83"/>
      <c r="C1406" s="84"/>
      <c r="D1406" s="85"/>
      <c r="E1406" s="85"/>
      <c r="F1406" s="86"/>
      <c r="G1406" s="86"/>
      <c r="H1406" s="87"/>
      <c r="I1406" s="86"/>
      <c r="J1406" s="87"/>
      <c r="K1406" s="86"/>
      <c r="L1406" s="86"/>
      <c r="M1406" s="87"/>
      <c r="N1406" s="86"/>
      <c r="O1406" s="87"/>
    </row>
    <row r="1407" spans="2:15">
      <c r="B1407" s="83"/>
      <c r="C1407" s="84"/>
      <c r="D1407" s="85"/>
      <c r="E1407" s="85"/>
      <c r="F1407" s="86"/>
      <c r="G1407" s="86"/>
      <c r="H1407" s="87"/>
      <c r="I1407" s="86"/>
      <c r="J1407" s="87"/>
      <c r="K1407" s="86"/>
      <c r="L1407" s="86"/>
      <c r="M1407" s="87"/>
      <c r="N1407" s="86"/>
      <c r="O1407" s="87"/>
    </row>
    <row r="1408" spans="2:15">
      <c r="B1408" s="83"/>
      <c r="C1408" s="84"/>
      <c r="D1408" s="85"/>
      <c r="E1408" s="85"/>
      <c r="F1408" s="86"/>
      <c r="G1408" s="86"/>
      <c r="H1408" s="87"/>
      <c r="I1408" s="86"/>
      <c r="J1408" s="87"/>
      <c r="K1408" s="86"/>
      <c r="L1408" s="86"/>
      <c r="M1408" s="87"/>
      <c r="N1408" s="86"/>
      <c r="O1408" s="87"/>
    </row>
    <row r="1409" spans="2:15">
      <c r="B1409" s="83"/>
      <c r="C1409" s="84"/>
      <c r="D1409" s="85"/>
      <c r="E1409" s="85"/>
      <c r="F1409" s="86"/>
      <c r="G1409" s="86"/>
      <c r="H1409" s="87"/>
      <c r="I1409" s="86"/>
      <c r="J1409" s="87"/>
      <c r="K1409" s="86"/>
      <c r="L1409" s="86"/>
      <c r="M1409" s="87"/>
      <c r="N1409" s="86"/>
      <c r="O1409" s="87"/>
    </row>
    <row r="1410" spans="2:15">
      <c r="B1410" s="83"/>
      <c r="C1410" s="84"/>
      <c r="D1410" s="85"/>
      <c r="E1410" s="85"/>
      <c r="F1410" s="86"/>
      <c r="G1410" s="86"/>
      <c r="H1410" s="87"/>
      <c r="I1410" s="86"/>
      <c r="J1410" s="87"/>
      <c r="K1410" s="86"/>
      <c r="L1410" s="86"/>
      <c r="M1410" s="87"/>
      <c r="N1410" s="86"/>
      <c r="O1410" s="87"/>
    </row>
    <row r="1411" spans="2:15">
      <c r="B1411" s="83"/>
      <c r="C1411" s="84"/>
      <c r="D1411" s="85"/>
      <c r="E1411" s="85"/>
      <c r="F1411" s="86"/>
      <c r="G1411" s="86"/>
      <c r="H1411" s="87"/>
      <c r="I1411" s="86"/>
      <c r="J1411" s="87"/>
      <c r="K1411" s="86"/>
      <c r="L1411" s="86"/>
      <c r="M1411" s="87"/>
      <c r="N1411" s="86"/>
      <c r="O1411" s="87"/>
    </row>
    <row r="1412" spans="2:15">
      <c r="B1412" s="83"/>
      <c r="C1412" s="84"/>
      <c r="D1412" s="85"/>
      <c r="E1412" s="85"/>
      <c r="F1412" s="86"/>
      <c r="G1412" s="86"/>
      <c r="H1412" s="87"/>
      <c r="I1412" s="86"/>
      <c r="J1412" s="87"/>
      <c r="K1412" s="86"/>
      <c r="L1412" s="86"/>
      <c r="M1412" s="87"/>
      <c r="N1412" s="86"/>
      <c r="O1412" s="87"/>
    </row>
    <row r="1413" spans="2:15">
      <c r="B1413" s="83"/>
      <c r="C1413" s="84"/>
      <c r="D1413" s="85"/>
      <c r="E1413" s="85"/>
      <c r="F1413" s="86"/>
      <c r="G1413" s="86"/>
      <c r="H1413" s="87"/>
      <c r="I1413" s="86"/>
      <c r="J1413" s="87"/>
      <c r="K1413" s="86"/>
      <c r="L1413" s="86"/>
      <c r="M1413" s="87"/>
      <c r="N1413" s="86"/>
      <c r="O1413" s="87"/>
    </row>
    <row r="1414" spans="2:15">
      <c r="B1414" s="83"/>
      <c r="C1414" s="84"/>
      <c r="D1414" s="85"/>
      <c r="E1414" s="85"/>
      <c r="F1414" s="86"/>
      <c r="G1414" s="86"/>
      <c r="H1414" s="87"/>
      <c r="I1414" s="86"/>
      <c r="J1414" s="87"/>
      <c r="K1414" s="86"/>
      <c r="L1414" s="86"/>
      <c r="M1414" s="87"/>
      <c r="N1414" s="86"/>
      <c r="O1414" s="87"/>
    </row>
    <row r="1415" spans="2:15">
      <c r="B1415" s="83"/>
      <c r="C1415" s="84"/>
      <c r="D1415" s="85"/>
      <c r="E1415" s="85"/>
      <c r="F1415" s="86"/>
      <c r="G1415" s="86"/>
      <c r="H1415" s="87"/>
      <c r="I1415" s="86"/>
      <c r="J1415" s="87"/>
      <c r="K1415" s="86"/>
      <c r="L1415" s="86"/>
      <c r="M1415" s="87"/>
      <c r="N1415" s="86"/>
      <c r="O1415" s="87"/>
    </row>
    <row r="1416" spans="2:15">
      <c r="B1416" s="83"/>
      <c r="C1416" s="84"/>
      <c r="D1416" s="85"/>
      <c r="E1416" s="85"/>
      <c r="F1416" s="86"/>
      <c r="G1416" s="86"/>
      <c r="H1416" s="87"/>
      <c r="I1416" s="86"/>
      <c r="J1416" s="87"/>
      <c r="K1416" s="86"/>
      <c r="L1416" s="86"/>
      <c r="M1416" s="87"/>
      <c r="N1416" s="86"/>
      <c r="O1416" s="87"/>
    </row>
    <row r="1417" spans="2:15">
      <c r="B1417" s="83"/>
      <c r="C1417" s="84"/>
      <c r="D1417" s="85"/>
      <c r="E1417" s="85"/>
      <c r="F1417" s="86"/>
      <c r="G1417" s="86"/>
      <c r="H1417" s="87"/>
      <c r="I1417" s="86"/>
      <c r="J1417" s="87"/>
      <c r="K1417" s="86"/>
      <c r="L1417" s="86"/>
      <c r="M1417" s="87"/>
      <c r="N1417" s="86"/>
      <c r="O1417" s="87"/>
    </row>
    <row r="1418" spans="2:15">
      <c r="B1418" s="83"/>
      <c r="C1418" s="84"/>
      <c r="D1418" s="85"/>
      <c r="E1418" s="85"/>
      <c r="F1418" s="86"/>
      <c r="G1418" s="86"/>
      <c r="H1418" s="87"/>
      <c r="I1418" s="86"/>
      <c r="J1418" s="87"/>
      <c r="K1418" s="86"/>
      <c r="L1418" s="86"/>
      <c r="M1418" s="87"/>
      <c r="N1418" s="86"/>
      <c r="O1418" s="87"/>
    </row>
    <row r="1419" spans="2:15">
      <c r="B1419" s="83"/>
      <c r="C1419" s="84"/>
      <c r="D1419" s="85"/>
      <c r="E1419" s="85"/>
      <c r="F1419" s="86"/>
      <c r="G1419" s="86"/>
      <c r="H1419" s="87"/>
      <c r="I1419" s="86"/>
      <c r="J1419" s="87"/>
      <c r="K1419" s="86"/>
      <c r="L1419" s="86"/>
      <c r="M1419" s="87"/>
      <c r="N1419" s="86"/>
      <c r="O1419" s="87"/>
    </row>
    <row r="1420" spans="2:15">
      <c r="B1420" s="83"/>
      <c r="C1420" s="84"/>
      <c r="D1420" s="85"/>
      <c r="E1420" s="85"/>
      <c r="F1420" s="86"/>
      <c r="G1420" s="86"/>
      <c r="H1420" s="87"/>
      <c r="I1420" s="86"/>
      <c r="J1420" s="87"/>
      <c r="K1420" s="86"/>
      <c r="L1420" s="86"/>
      <c r="M1420" s="87"/>
      <c r="N1420" s="86"/>
      <c r="O1420" s="87"/>
    </row>
    <row r="1421" spans="2:15">
      <c r="B1421" s="83"/>
      <c r="C1421" s="84"/>
      <c r="D1421" s="85"/>
      <c r="E1421" s="85"/>
      <c r="F1421" s="86"/>
      <c r="G1421" s="86"/>
      <c r="H1421" s="87"/>
      <c r="I1421" s="86"/>
      <c r="J1421" s="87"/>
      <c r="K1421" s="86"/>
      <c r="L1421" s="86"/>
      <c r="M1421" s="87"/>
      <c r="N1421" s="86"/>
      <c r="O1421" s="87"/>
    </row>
    <row r="1422" spans="2:15">
      <c r="B1422" s="83"/>
      <c r="C1422" s="84"/>
      <c r="D1422" s="85"/>
      <c r="E1422" s="85"/>
      <c r="F1422" s="86"/>
      <c r="G1422" s="86"/>
      <c r="H1422" s="87"/>
      <c r="I1422" s="86"/>
      <c r="J1422" s="87"/>
      <c r="K1422" s="86"/>
      <c r="L1422" s="86"/>
      <c r="M1422" s="87"/>
      <c r="N1422" s="86"/>
      <c r="O1422" s="87"/>
    </row>
    <row r="1423" spans="2:15">
      <c r="B1423" s="83"/>
      <c r="C1423" s="84"/>
      <c r="D1423" s="85"/>
      <c r="E1423" s="85"/>
      <c r="F1423" s="86"/>
      <c r="G1423" s="86"/>
      <c r="H1423" s="87"/>
      <c r="I1423" s="86"/>
      <c r="J1423" s="87"/>
      <c r="K1423" s="86"/>
      <c r="L1423" s="86"/>
      <c r="M1423" s="87"/>
      <c r="N1423" s="86"/>
      <c r="O1423" s="87"/>
    </row>
    <row r="1424" spans="2:15">
      <c r="B1424" s="83"/>
      <c r="C1424" s="84"/>
      <c r="D1424" s="85"/>
      <c r="E1424" s="85"/>
      <c r="F1424" s="86"/>
      <c r="G1424" s="86"/>
      <c r="H1424" s="87"/>
      <c r="I1424" s="86"/>
      <c r="J1424" s="87"/>
      <c r="K1424" s="86"/>
      <c r="L1424" s="86"/>
      <c r="M1424" s="87"/>
      <c r="N1424" s="86"/>
      <c r="O1424" s="87"/>
    </row>
    <row r="1425" spans="2:15">
      <c r="B1425" s="83"/>
      <c r="C1425" s="84"/>
      <c r="D1425" s="85"/>
      <c r="E1425" s="85"/>
      <c r="F1425" s="86"/>
      <c r="G1425" s="86"/>
      <c r="H1425" s="87"/>
      <c r="I1425" s="86"/>
      <c r="J1425" s="87"/>
      <c r="K1425" s="86"/>
      <c r="L1425" s="86"/>
      <c r="M1425" s="87"/>
      <c r="N1425" s="86"/>
      <c r="O1425" s="87"/>
    </row>
    <row r="1426" spans="2:15">
      <c r="B1426" s="83"/>
      <c r="C1426" s="84"/>
      <c r="D1426" s="85"/>
      <c r="E1426" s="85"/>
      <c r="F1426" s="86"/>
      <c r="G1426" s="86"/>
      <c r="H1426" s="87"/>
      <c r="I1426" s="86"/>
      <c r="J1426" s="87"/>
      <c r="K1426" s="86"/>
      <c r="L1426" s="86"/>
      <c r="M1426" s="87"/>
      <c r="N1426" s="86"/>
      <c r="O1426" s="87"/>
    </row>
    <row r="1427" spans="2:15">
      <c r="B1427" s="83"/>
      <c r="C1427" s="84"/>
      <c r="D1427" s="85"/>
      <c r="E1427" s="85"/>
      <c r="F1427" s="86"/>
      <c r="G1427" s="86"/>
      <c r="H1427" s="87"/>
      <c r="I1427" s="86"/>
      <c r="J1427" s="87"/>
      <c r="K1427" s="86"/>
      <c r="L1427" s="86"/>
      <c r="M1427" s="87"/>
      <c r="N1427" s="86"/>
      <c r="O1427" s="87"/>
    </row>
    <row r="1428" spans="2:15">
      <c r="B1428" s="83"/>
      <c r="C1428" s="84"/>
      <c r="D1428" s="85"/>
      <c r="E1428" s="85"/>
      <c r="F1428" s="86"/>
      <c r="G1428" s="86"/>
      <c r="H1428" s="87"/>
      <c r="I1428" s="86"/>
      <c r="J1428" s="87"/>
      <c r="K1428" s="86"/>
      <c r="L1428" s="86"/>
      <c r="M1428" s="87"/>
      <c r="N1428" s="86"/>
      <c r="O1428" s="87"/>
    </row>
    <row r="1429" spans="2:15">
      <c r="B1429" s="83"/>
      <c r="C1429" s="84"/>
      <c r="D1429" s="85"/>
      <c r="E1429" s="85"/>
      <c r="F1429" s="86"/>
      <c r="G1429" s="86"/>
      <c r="H1429" s="87"/>
      <c r="I1429" s="86"/>
      <c r="J1429" s="87"/>
      <c r="K1429" s="86"/>
      <c r="L1429" s="86"/>
      <c r="M1429" s="87"/>
      <c r="N1429" s="86"/>
      <c r="O1429" s="87"/>
    </row>
    <row r="1430" spans="2:15">
      <c r="B1430" s="83"/>
      <c r="C1430" s="84"/>
      <c r="D1430" s="85"/>
      <c r="E1430" s="85"/>
      <c r="F1430" s="86"/>
      <c r="G1430" s="86"/>
      <c r="H1430" s="87"/>
      <c r="I1430" s="86"/>
      <c r="J1430" s="87"/>
      <c r="K1430" s="86"/>
      <c r="L1430" s="86"/>
      <c r="M1430" s="87"/>
      <c r="N1430" s="86"/>
      <c r="O1430" s="87"/>
    </row>
    <row r="1431" spans="2:15">
      <c r="B1431" s="83"/>
      <c r="C1431" s="84"/>
      <c r="D1431" s="85"/>
      <c r="E1431" s="85"/>
      <c r="F1431" s="86"/>
      <c r="G1431" s="86"/>
      <c r="H1431" s="87"/>
      <c r="I1431" s="86"/>
      <c r="J1431" s="87"/>
      <c r="K1431" s="86"/>
      <c r="L1431" s="86"/>
      <c r="M1431" s="87"/>
      <c r="N1431" s="86"/>
      <c r="O1431" s="87"/>
    </row>
    <row r="1432" spans="2:15">
      <c r="B1432" s="83"/>
      <c r="C1432" s="84"/>
      <c r="D1432" s="85"/>
      <c r="E1432" s="85"/>
      <c r="F1432" s="86"/>
      <c r="G1432" s="86"/>
      <c r="H1432" s="87"/>
      <c r="I1432" s="86"/>
      <c r="J1432" s="87"/>
      <c r="K1432" s="86"/>
      <c r="L1432" s="86"/>
      <c r="M1432" s="87"/>
      <c r="N1432" s="86"/>
      <c r="O1432" s="87"/>
    </row>
    <row r="1433" spans="2:15">
      <c r="B1433" s="83"/>
      <c r="C1433" s="84"/>
      <c r="D1433" s="85"/>
      <c r="E1433" s="85"/>
      <c r="F1433" s="86"/>
      <c r="G1433" s="86"/>
      <c r="H1433" s="87"/>
      <c r="I1433" s="86"/>
      <c r="J1433" s="87"/>
      <c r="K1433" s="86"/>
      <c r="L1433" s="86"/>
      <c r="M1433" s="87"/>
      <c r="N1433" s="86"/>
      <c r="O1433" s="87"/>
    </row>
    <row r="1434" spans="2:15">
      <c r="B1434" s="83"/>
      <c r="C1434" s="84"/>
      <c r="D1434" s="85"/>
      <c r="E1434" s="85"/>
      <c r="F1434" s="86"/>
      <c r="G1434" s="86"/>
      <c r="H1434" s="87"/>
      <c r="I1434" s="86"/>
      <c r="J1434" s="87"/>
      <c r="K1434" s="86"/>
      <c r="L1434" s="86"/>
      <c r="M1434" s="87"/>
      <c r="N1434" s="86"/>
      <c r="O1434" s="87"/>
    </row>
    <row r="1435" spans="2:15">
      <c r="B1435" s="83"/>
      <c r="C1435" s="84"/>
      <c r="D1435" s="85"/>
      <c r="E1435" s="85"/>
      <c r="F1435" s="86"/>
      <c r="G1435" s="86"/>
      <c r="H1435" s="87"/>
      <c r="I1435" s="86"/>
      <c r="J1435" s="87"/>
      <c r="K1435" s="86"/>
      <c r="L1435" s="86"/>
      <c r="M1435" s="87"/>
      <c r="N1435" s="86"/>
      <c r="O1435" s="87"/>
    </row>
    <row r="1436" spans="2:15">
      <c r="B1436" s="83"/>
      <c r="C1436" s="84"/>
      <c r="D1436" s="85"/>
      <c r="E1436" s="85"/>
      <c r="F1436" s="86"/>
      <c r="G1436" s="86"/>
      <c r="H1436" s="87"/>
      <c r="I1436" s="86"/>
      <c r="J1436" s="87"/>
      <c r="K1436" s="86"/>
      <c r="L1436" s="86"/>
      <c r="M1436" s="87"/>
      <c r="N1436" s="86"/>
      <c r="O1436" s="87"/>
    </row>
    <row r="1437" spans="2:15">
      <c r="B1437" s="83"/>
      <c r="C1437" s="84"/>
      <c r="D1437" s="85"/>
      <c r="E1437" s="85"/>
      <c r="F1437" s="86"/>
      <c r="G1437" s="86"/>
      <c r="H1437" s="87"/>
      <c r="I1437" s="86"/>
      <c r="J1437" s="87"/>
      <c r="K1437" s="86"/>
      <c r="L1437" s="86"/>
      <c r="M1437" s="87"/>
      <c r="N1437" s="86"/>
      <c r="O1437" s="87"/>
    </row>
    <row r="1438" spans="2:15">
      <c r="B1438" s="83"/>
      <c r="C1438" s="84"/>
      <c r="D1438" s="85"/>
      <c r="E1438" s="85"/>
      <c r="F1438" s="86"/>
      <c r="G1438" s="86"/>
      <c r="H1438" s="87"/>
      <c r="I1438" s="86"/>
      <c r="J1438" s="87"/>
      <c r="K1438" s="86"/>
      <c r="L1438" s="86"/>
      <c r="M1438" s="87"/>
      <c r="N1438" s="86"/>
      <c r="O1438" s="87"/>
    </row>
    <row r="1439" spans="2:15">
      <c r="B1439" s="83"/>
      <c r="C1439" s="84"/>
      <c r="D1439" s="85"/>
      <c r="E1439" s="85"/>
      <c r="F1439" s="86"/>
      <c r="G1439" s="86"/>
      <c r="H1439" s="87"/>
      <c r="I1439" s="86"/>
      <c r="J1439" s="87"/>
      <c r="K1439" s="86"/>
      <c r="L1439" s="86"/>
      <c r="M1439" s="87"/>
      <c r="N1439" s="86"/>
      <c r="O1439" s="87"/>
    </row>
    <row r="1440" spans="2:15">
      <c r="B1440" s="83"/>
      <c r="C1440" s="84"/>
      <c r="D1440" s="85"/>
      <c r="E1440" s="85"/>
      <c r="F1440" s="86"/>
      <c r="G1440" s="86"/>
      <c r="H1440" s="87"/>
      <c r="I1440" s="86"/>
      <c r="J1440" s="87"/>
      <c r="K1440" s="86"/>
      <c r="L1440" s="86"/>
      <c r="M1440" s="87"/>
      <c r="N1440" s="86"/>
      <c r="O1440" s="87"/>
    </row>
    <row r="1441" spans="2:15">
      <c r="B1441" s="83"/>
      <c r="C1441" s="84"/>
      <c r="D1441" s="85"/>
      <c r="E1441" s="85"/>
      <c r="F1441" s="86"/>
      <c r="G1441" s="86"/>
      <c r="H1441" s="87"/>
      <c r="I1441" s="86"/>
      <c r="J1441" s="87"/>
      <c r="K1441" s="86"/>
      <c r="L1441" s="86"/>
      <c r="M1441" s="87"/>
      <c r="N1441" s="86"/>
      <c r="O1441" s="87"/>
    </row>
    <row r="1442" spans="2:15">
      <c r="B1442" s="83"/>
      <c r="C1442" s="84"/>
      <c r="D1442" s="85"/>
      <c r="E1442" s="85"/>
      <c r="F1442" s="86"/>
      <c r="G1442" s="86"/>
      <c r="H1442" s="87"/>
      <c r="I1442" s="86"/>
      <c r="J1442" s="87"/>
      <c r="K1442" s="86"/>
      <c r="L1442" s="86"/>
      <c r="M1442" s="87"/>
      <c r="N1442" s="86"/>
      <c r="O1442" s="87"/>
    </row>
    <row r="1443" spans="2:15">
      <c r="B1443" s="83"/>
      <c r="C1443" s="84"/>
      <c r="D1443" s="85"/>
      <c r="E1443" s="85"/>
      <c r="F1443" s="86"/>
      <c r="G1443" s="86"/>
      <c r="H1443" s="87"/>
      <c r="I1443" s="86"/>
      <c r="J1443" s="87"/>
      <c r="K1443" s="86"/>
      <c r="L1443" s="86"/>
      <c r="M1443" s="87"/>
      <c r="N1443" s="86"/>
      <c r="O1443" s="87"/>
    </row>
    <row r="1444" spans="2:15">
      <c r="B1444" s="83"/>
      <c r="C1444" s="84"/>
      <c r="D1444" s="85"/>
      <c r="E1444" s="85"/>
      <c r="F1444" s="86"/>
      <c r="G1444" s="86"/>
      <c r="H1444" s="87"/>
      <c r="I1444" s="86"/>
      <c r="J1444" s="87"/>
      <c r="K1444" s="86"/>
      <c r="L1444" s="86"/>
      <c r="M1444" s="87"/>
      <c r="N1444" s="86"/>
      <c r="O1444" s="87"/>
    </row>
    <row r="1445" spans="2:15">
      <c r="B1445" s="83"/>
      <c r="C1445" s="84"/>
      <c r="D1445" s="85"/>
      <c r="E1445" s="85"/>
      <c r="F1445" s="86"/>
      <c r="G1445" s="86"/>
      <c r="H1445" s="87"/>
      <c r="I1445" s="86"/>
      <c r="J1445" s="87"/>
      <c r="K1445" s="86"/>
      <c r="L1445" s="86"/>
      <c r="M1445" s="87"/>
      <c r="N1445" s="86"/>
      <c r="O1445" s="87"/>
    </row>
    <row r="1446" spans="2:15">
      <c r="B1446" s="83"/>
      <c r="C1446" s="84"/>
      <c r="D1446" s="85"/>
      <c r="E1446" s="85"/>
      <c r="F1446" s="86"/>
      <c r="G1446" s="86"/>
      <c r="H1446" s="87"/>
      <c r="I1446" s="86"/>
      <c r="J1446" s="87"/>
      <c r="K1446" s="86"/>
      <c r="L1446" s="86"/>
      <c r="M1446" s="87"/>
      <c r="N1446" s="86"/>
      <c r="O1446" s="87"/>
    </row>
    <row r="1447" spans="2:15">
      <c r="B1447" s="83"/>
      <c r="C1447" s="84"/>
      <c r="D1447" s="85"/>
      <c r="E1447" s="85"/>
      <c r="F1447" s="86"/>
      <c r="G1447" s="86"/>
      <c r="H1447" s="87"/>
      <c r="I1447" s="86"/>
      <c r="J1447" s="87"/>
      <c r="K1447" s="86"/>
      <c r="L1447" s="86"/>
      <c r="M1447" s="87"/>
      <c r="N1447" s="86"/>
      <c r="O1447" s="87"/>
    </row>
    <row r="1448" spans="2:15">
      <c r="B1448" s="83"/>
      <c r="C1448" s="84"/>
      <c r="D1448" s="85"/>
      <c r="E1448" s="85"/>
      <c r="F1448" s="86"/>
      <c r="G1448" s="86"/>
      <c r="H1448" s="87"/>
      <c r="I1448" s="86"/>
      <c r="J1448" s="87"/>
      <c r="K1448" s="86"/>
      <c r="L1448" s="86"/>
      <c r="M1448" s="87"/>
      <c r="N1448" s="86"/>
      <c r="O1448" s="87"/>
    </row>
    <row r="1449" spans="2:15">
      <c r="B1449" s="83"/>
      <c r="C1449" s="84"/>
      <c r="D1449" s="85"/>
      <c r="E1449" s="85"/>
      <c r="F1449" s="86"/>
      <c r="G1449" s="86"/>
      <c r="H1449" s="87"/>
      <c r="I1449" s="86"/>
      <c r="J1449" s="87"/>
      <c r="K1449" s="86"/>
      <c r="L1449" s="86"/>
      <c r="M1449" s="87"/>
      <c r="N1449" s="86"/>
      <c r="O1449" s="87"/>
    </row>
    <row r="1450" spans="2:15">
      <c r="B1450" s="83"/>
      <c r="C1450" s="84"/>
      <c r="D1450" s="85"/>
      <c r="E1450" s="85"/>
      <c r="F1450" s="86"/>
      <c r="G1450" s="86"/>
      <c r="H1450" s="87"/>
      <c r="I1450" s="86"/>
      <c r="J1450" s="87"/>
      <c r="K1450" s="86"/>
      <c r="L1450" s="86"/>
      <c r="M1450" s="87"/>
      <c r="N1450" s="86"/>
      <c r="O1450" s="87"/>
    </row>
    <row r="1451" spans="2:15">
      <c r="B1451" s="83"/>
      <c r="C1451" s="84"/>
      <c r="D1451" s="85"/>
      <c r="E1451" s="85"/>
      <c r="F1451" s="86"/>
      <c r="G1451" s="86"/>
      <c r="H1451" s="87"/>
      <c r="I1451" s="86"/>
      <c r="J1451" s="87"/>
      <c r="K1451" s="86"/>
      <c r="L1451" s="86"/>
      <c r="M1451" s="87"/>
      <c r="N1451" s="86"/>
      <c r="O1451" s="87"/>
    </row>
    <row r="1452" spans="2:15">
      <c r="B1452" s="83"/>
      <c r="C1452" s="84"/>
      <c r="D1452" s="85"/>
      <c r="E1452" s="85"/>
      <c r="F1452" s="86"/>
      <c r="G1452" s="86"/>
      <c r="H1452" s="87"/>
      <c r="I1452" s="86"/>
      <c r="J1452" s="87"/>
      <c r="K1452" s="86"/>
      <c r="L1452" s="86"/>
      <c r="M1452" s="87"/>
      <c r="N1452" s="86"/>
      <c r="O1452" s="87"/>
    </row>
    <row r="1453" spans="2:15">
      <c r="B1453" s="83"/>
      <c r="C1453" s="84"/>
      <c r="D1453" s="85"/>
      <c r="E1453" s="85"/>
      <c r="F1453" s="86"/>
      <c r="G1453" s="86"/>
      <c r="H1453" s="87"/>
      <c r="I1453" s="86"/>
      <c r="J1453" s="87"/>
      <c r="K1453" s="86"/>
      <c r="L1453" s="86"/>
      <c r="M1453" s="87"/>
      <c r="N1453" s="86"/>
      <c r="O1453" s="87"/>
    </row>
    <row r="1454" spans="2:15">
      <c r="B1454" s="83"/>
      <c r="C1454" s="84"/>
      <c r="D1454" s="85"/>
      <c r="E1454" s="85"/>
      <c r="F1454" s="86"/>
      <c r="G1454" s="86"/>
      <c r="H1454" s="87"/>
      <c r="I1454" s="86"/>
      <c r="J1454" s="87"/>
      <c r="K1454" s="86"/>
      <c r="L1454" s="86"/>
      <c r="M1454" s="87"/>
      <c r="N1454" s="86"/>
      <c r="O1454" s="87"/>
    </row>
    <row r="1455" spans="2:15">
      <c r="B1455" s="83"/>
      <c r="C1455" s="84"/>
      <c r="D1455" s="85"/>
      <c r="E1455" s="85"/>
      <c r="F1455" s="86"/>
      <c r="G1455" s="86"/>
      <c r="H1455" s="87"/>
      <c r="I1455" s="86"/>
      <c r="J1455" s="87"/>
      <c r="K1455" s="86"/>
      <c r="L1455" s="86"/>
      <c r="M1455" s="87"/>
      <c r="N1455" s="86"/>
      <c r="O1455" s="87"/>
    </row>
    <row r="1456" spans="2:15">
      <c r="B1456" s="83"/>
      <c r="C1456" s="84"/>
      <c r="D1456" s="85"/>
      <c r="E1456" s="85"/>
      <c r="F1456" s="86"/>
      <c r="G1456" s="86"/>
      <c r="H1456" s="87"/>
      <c r="I1456" s="86"/>
      <c r="J1456" s="87"/>
      <c r="K1456" s="86"/>
      <c r="L1456" s="86"/>
      <c r="M1456" s="87"/>
      <c r="N1456" s="86"/>
      <c r="O1456" s="87"/>
    </row>
    <row r="1457" spans="2:15">
      <c r="B1457" s="83"/>
      <c r="C1457" s="84"/>
      <c r="D1457" s="85"/>
      <c r="E1457" s="85"/>
      <c r="F1457" s="86"/>
      <c r="G1457" s="86"/>
      <c r="H1457" s="87"/>
      <c r="I1457" s="86"/>
      <c r="J1457" s="87"/>
      <c r="K1457" s="86"/>
      <c r="L1457" s="86"/>
      <c r="M1457" s="87"/>
      <c r="N1457" s="86"/>
      <c r="O1457" s="87"/>
    </row>
    <row r="1458" spans="2:15">
      <c r="B1458" s="83"/>
      <c r="C1458" s="84"/>
      <c r="D1458" s="85"/>
      <c r="E1458" s="85"/>
      <c r="F1458" s="86"/>
      <c r="G1458" s="86"/>
      <c r="H1458" s="87"/>
      <c r="I1458" s="86"/>
      <c r="J1458" s="87"/>
      <c r="K1458" s="86"/>
      <c r="L1458" s="86"/>
      <c r="M1458" s="87"/>
      <c r="N1458" s="86"/>
      <c r="O1458" s="87"/>
    </row>
    <row r="1459" spans="2:15">
      <c r="B1459" s="83"/>
      <c r="C1459" s="84"/>
      <c r="D1459" s="85"/>
      <c r="E1459" s="85"/>
      <c r="F1459" s="86"/>
      <c r="G1459" s="86"/>
      <c r="H1459" s="87"/>
      <c r="I1459" s="86"/>
      <c r="J1459" s="87"/>
      <c r="K1459" s="86"/>
      <c r="L1459" s="86"/>
      <c r="M1459" s="87"/>
      <c r="N1459" s="86"/>
      <c r="O1459" s="87"/>
    </row>
    <row r="1460" spans="2:15">
      <c r="B1460" s="83"/>
      <c r="C1460" s="84"/>
      <c r="D1460" s="85"/>
      <c r="E1460" s="85"/>
      <c r="F1460" s="86"/>
      <c r="G1460" s="86"/>
      <c r="H1460" s="87"/>
      <c r="I1460" s="86"/>
      <c r="J1460" s="87"/>
      <c r="K1460" s="86"/>
      <c r="L1460" s="86"/>
      <c r="M1460" s="87"/>
      <c r="N1460" s="86"/>
      <c r="O1460" s="87"/>
    </row>
    <row r="1461" spans="2:15">
      <c r="B1461" s="83"/>
      <c r="C1461" s="84"/>
      <c r="D1461" s="85"/>
      <c r="E1461" s="85"/>
      <c r="F1461" s="86"/>
      <c r="G1461" s="86"/>
      <c r="H1461" s="87"/>
      <c r="I1461" s="86"/>
      <c r="J1461" s="87"/>
      <c r="K1461" s="86"/>
      <c r="L1461" s="86"/>
      <c r="M1461" s="87"/>
      <c r="N1461" s="86"/>
      <c r="O1461" s="87"/>
    </row>
    <row r="1462" spans="2:15">
      <c r="B1462" s="83"/>
      <c r="C1462" s="84"/>
      <c r="D1462" s="85"/>
      <c r="E1462" s="85"/>
      <c r="F1462" s="86"/>
      <c r="G1462" s="86"/>
      <c r="H1462" s="87"/>
      <c r="I1462" s="86"/>
      <c r="J1462" s="87"/>
      <c r="K1462" s="86"/>
      <c r="L1462" s="86"/>
      <c r="M1462" s="87"/>
      <c r="N1462" s="86"/>
      <c r="O1462" s="87"/>
    </row>
    <row r="1463" spans="2:15">
      <c r="B1463" s="83"/>
      <c r="C1463" s="84"/>
      <c r="D1463" s="85"/>
      <c r="E1463" s="85"/>
      <c r="F1463" s="86"/>
      <c r="G1463" s="86"/>
      <c r="H1463" s="87"/>
      <c r="I1463" s="86"/>
      <c r="J1463" s="87"/>
      <c r="K1463" s="86"/>
      <c r="L1463" s="86"/>
      <c r="M1463" s="87"/>
      <c r="N1463" s="86"/>
      <c r="O1463" s="87"/>
    </row>
    <row r="1464" spans="2:15">
      <c r="B1464" s="83"/>
      <c r="C1464" s="84"/>
      <c r="D1464" s="85"/>
      <c r="E1464" s="85"/>
      <c r="F1464" s="86"/>
      <c r="G1464" s="86"/>
      <c r="H1464" s="87"/>
      <c r="I1464" s="86"/>
      <c r="J1464" s="87"/>
      <c r="K1464" s="86"/>
      <c r="L1464" s="86"/>
      <c r="M1464" s="87"/>
      <c r="N1464" s="86"/>
      <c r="O1464" s="87"/>
    </row>
    <row r="1465" spans="2:15">
      <c r="B1465" s="83"/>
      <c r="C1465" s="84"/>
      <c r="D1465" s="85"/>
      <c r="E1465" s="85"/>
      <c r="F1465" s="86"/>
      <c r="G1465" s="86"/>
      <c r="H1465" s="87"/>
      <c r="I1465" s="86"/>
      <c r="J1465" s="87"/>
      <c r="K1465" s="86"/>
      <c r="L1465" s="86"/>
      <c r="M1465" s="87"/>
      <c r="N1465" s="86"/>
      <c r="O1465" s="87"/>
    </row>
    <row r="1466" spans="2:15">
      <c r="B1466" s="83"/>
      <c r="C1466" s="84"/>
      <c r="D1466" s="85"/>
      <c r="E1466" s="85"/>
      <c r="F1466" s="86"/>
      <c r="G1466" s="86"/>
      <c r="H1466" s="87"/>
      <c r="I1466" s="86"/>
      <c r="J1466" s="87"/>
      <c r="K1466" s="86"/>
      <c r="L1466" s="86"/>
      <c r="M1466" s="87"/>
      <c r="N1466" s="86"/>
      <c r="O1466" s="87"/>
    </row>
    <row r="1467" spans="2:15">
      <c r="B1467" s="83"/>
      <c r="C1467" s="84"/>
      <c r="D1467" s="85"/>
      <c r="E1467" s="85"/>
      <c r="F1467" s="86"/>
      <c r="G1467" s="86"/>
      <c r="H1467" s="87"/>
      <c r="I1467" s="86"/>
      <c r="J1467" s="87"/>
      <c r="K1467" s="86"/>
      <c r="L1467" s="86"/>
      <c r="M1467" s="87"/>
      <c r="N1467" s="86"/>
      <c r="O1467" s="87"/>
    </row>
    <row r="1468" spans="2:15">
      <c r="B1468" s="83"/>
      <c r="C1468" s="84"/>
      <c r="D1468" s="85"/>
      <c r="E1468" s="85"/>
      <c r="F1468" s="86"/>
      <c r="G1468" s="86"/>
      <c r="H1468" s="87"/>
      <c r="I1468" s="86"/>
      <c r="J1468" s="87"/>
      <c r="K1468" s="86"/>
      <c r="L1468" s="86"/>
      <c r="M1468" s="87"/>
      <c r="N1468" s="86"/>
      <c r="O1468" s="87"/>
    </row>
    <row r="1469" spans="2:15">
      <c r="B1469" s="83"/>
      <c r="C1469" s="84"/>
      <c r="D1469" s="85"/>
      <c r="E1469" s="85"/>
      <c r="F1469" s="86"/>
      <c r="G1469" s="86"/>
      <c r="H1469" s="87"/>
      <c r="I1469" s="86"/>
      <c r="J1469" s="87"/>
      <c r="K1469" s="86"/>
      <c r="L1469" s="86"/>
      <c r="M1469" s="87"/>
      <c r="N1469" s="86"/>
      <c r="O1469" s="87"/>
    </row>
    <row r="1470" spans="2:15">
      <c r="B1470" s="83"/>
      <c r="C1470" s="84"/>
      <c r="D1470" s="85"/>
      <c r="E1470" s="85"/>
      <c r="F1470" s="86"/>
      <c r="G1470" s="86"/>
      <c r="H1470" s="87"/>
      <c r="I1470" s="86"/>
      <c r="J1470" s="87"/>
      <c r="K1470" s="86"/>
      <c r="L1470" s="86"/>
      <c r="M1470" s="87"/>
      <c r="N1470" s="86"/>
      <c r="O1470" s="87"/>
    </row>
    <row r="1471" spans="2:15">
      <c r="B1471" s="83"/>
      <c r="C1471" s="84"/>
      <c r="D1471" s="85"/>
      <c r="E1471" s="85"/>
      <c r="F1471" s="86"/>
      <c r="G1471" s="86"/>
      <c r="H1471" s="87"/>
      <c r="I1471" s="86"/>
      <c r="J1471" s="87"/>
      <c r="K1471" s="86"/>
      <c r="L1471" s="86"/>
      <c r="M1471" s="87"/>
      <c r="N1471" s="86"/>
      <c r="O1471" s="87"/>
    </row>
    <row r="1472" spans="2:15">
      <c r="B1472" s="83"/>
      <c r="C1472" s="84"/>
      <c r="D1472" s="85"/>
      <c r="E1472" s="85"/>
      <c r="F1472" s="86"/>
      <c r="G1472" s="86"/>
      <c r="H1472" s="87"/>
      <c r="I1472" s="86"/>
      <c r="J1472" s="87"/>
      <c r="K1472" s="86"/>
      <c r="L1472" s="86"/>
      <c r="M1472" s="87"/>
      <c r="N1472" s="86"/>
      <c r="O1472" s="87"/>
    </row>
    <row r="1473" spans="2:15">
      <c r="B1473" s="83"/>
      <c r="C1473" s="84"/>
      <c r="D1473" s="85"/>
      <c r="E1473" s="85"/>
      <c r="F1473" s="86"/>
      <c r="G1473" s="86"/>
      <c r="H1473" s="87"/>
      <c r="I1473" s="86"/>
      <c r="J1473" s="87"/>
      <c r="K1473" s="86"/>
      <c r="L1473" s="86"/>
      <c r="M1473" s="87"/>
      <c r="N1473" s="86"/>
      <c r="O1473" s="87"/>
    </row>
    <row r="1474" spans="2:15">
      <c r="B1474" s="83"/>
      <c r="C1474" s="84"/>
      <c r="D1474" s="85"/>
      <c r="E1474" s="85"/>
      <c r="F1474" s="86"/>
      <c r="G1474" s="86"/>
      <c r="H1474" s="87"/>
      <c r="I1474" s="86"/>
      <c r="J1474" s="87"/>
      <c r="K1474" s="86"/>
      <c r="L1474" s="86"/>
      <c r="M1474" s="87"/>
      <c r="N1474" s="86"/>
      <c r="O1474" s="87"/>
    </row>
    <row r="1475" spans="2:15">
      <c r="B1475" s="83"/>
      <c r="C1475" s="84"/>
      <c r="D1475" s="85"/>
      <c r="E1475" s="85"/>
      <c r="F1475" s="86"/>
      <c r="G1475" s="86"/>
      <c r="H1475" s="87"/>
      <c r="I1475" s="86"/>
      <c r="J1475" s="87"/>
      <c r="K1475" s="86"/>
      <c r="L1475" s="86"/>
      <c r="M1475" s="87"/>
      <c r="N1475" s="86"/>
      <c r="O1475" s="87"/>
    </row>
    <row r="1476" spans="2:15">
      <c r="B1476" s="83"/>
      <c r="C1476" s="84"/>
      <c r="D1476" s="85"/>
      <c r="E1476" s="85"/>
      <c r="F1476" s="86"/>
      <c r="G1476" s="86"/>
      <c r="H1476" s="87"/>
      <c r="I1476" s="86"/>
      <c r="J1476" s="87"/>
      <c r="K1476" s="86"/>
      <c r="L1476" s="86"/>
      <c r="M1476" s="87"/>
      <c r="N1476" s="86"/>
      <c r="O1476" s="87"/>
    </row>
    <row r="1477" spans="2:15">
      <c r="B1477" s="83"/>
      <c r="C1477" s="84"/>
      <c r="D1477" s="85"/>
      <c r="E1477" s="85"/>
      <c r="F1477" s="86"/>
      <c r="G1477" s="86"/>
      <c r="H1477" s="87"/>
      <c r="I1477" s="86"/>
      <c r="J1477" s="87"/>
      <c r="K1477" s="86"/>
      <c r="L1477" s="86"/>
      <c r="M1477" s="87"/>
      <c r="N1477" s="86"/>
      <c r="O1477" s="87"/>
    </row>
    <row r="1478" spans="2:15">
      <c r="B1478" s="83"/>
      <c r="C1478" s="84"/>
      <c r="D1478" s="85"/>
      <c r="E1478" s="85"/>
      <c r="F1478" s="86"/>
      <c r="G1478" s="86"/>
      <c r="H1478" s="87"/>
      <c r="I1478" s="86"/>
      <c r="J1478" s="87"/>
      <c r="K1478" s="86"/>
      <c r="L1478" s="86"/>
      <c r="M1478" s="87"/>
      <c r="N1478" s="86"/>
      <c r="O1478" s="87"/>
    </row>
    <row r="1479" spans="2:15">
      <c r="B1479" s="83"/>
      <c r="C1479" s="84"/>
      <c r="D1479" s="85"/>
      <c r="E1479" s="85"/>
      <c r="F1479" s="86"/>
      <c r="G1479" s="86"/>
      <c r="H1479" s="87"/>
      <c r="I1479" s="86"/>
      <c r="J1479" s="87"/>
      <c r="K1479" s="86"/>
      <c r="L1479" s="86"/>
      <c r="M1479" s="87"/>
      <c r="N1479" s="86"/>
      <c r="O1479" s="87"/>
    </row>
    <row r="1480" spans="2:15">
      <c r="B1480" s="83"/>
      <c r="C1480" s="84"/>
      <c r="D1480" s="85"/>
      <c r="E1480" s="85"/>
      <c r="F1480" s="86"/>
      <c r="G1480" s="86"/>
      <c r="H1480" s="87"/>
      <c r="I1480" s="86"/>
      <c r="J1480" s="87"/>
      <c r="K1480" s="86"/>
      <c r="L1480" s="86"/>
      <c r="M1480" s="87"/>
      <c r="N1480" s="86"/>
      <c r="O1480" s="87"/>
    </row>
    <row r="1481" spans="2:15">
      <c r="B1481" s="83"/>
      <c r="C1481" s="84"/>
      <c r="D1481" s="85"/>
      <c r="E1481" s="85"/>
      <c r="F1481" s="86"/>
      <c r="G1481" s="86"/>
      <c r="H1481" s="87"/>
      <c r="I1481" s="86"/>
      <c r="J1481" s="87"/>
      <c r="K1481" s="86"/>
      <c r="L1481" s="86"/>
      <c r="M1481" s="87"/>
      <c r="N1481" s="86"/>
      <c r="O1481" s="87"/>
    </row>
    <row r="1482" spans="2:15">
      <c r="B1482" s="83"/>
      <c r="C1482" s="84"/>
      <c r="D1482" s="85"/>
      <c r="E1482" s="85"/>
      <c r="F1482" s="86"/>
      <c r="G1482" s="86"/>
      <c r="H1482" s="87"/>
      <c r="I1482" s="86"/>
      <c r="J1482" s="87"/>
      <c r="K1482" s="86"/>
      <c r="L1482" s="86"/>
      <c r="M1482" s="87"/>
      <c r="N1482" s="86"/>
      <c r="O1482" s="87"/>
    </row>
    <row r="1483" spans="2:15">
      <c r="B1483" s="83"/>
      <c r="C1483" s="84"/>
      <c r="D1483" s="85"/>
      <c r="E1483" s="85"/>
      <c r="F1483" s="86"/>
      <c r="G1483" s="86"/>
      <c r="H1483" s="87"/>
      <c r="I1483" s="86"/>
      <c r="J1483" s="87"/>
      <c r="K1483" s="86"/>
      <c r="L1483" s="86"/>
      <c r="M1483" s="87"/>
      <c r="N1483" s="86"/>
      <c r="O1483" s="87"/>
    </row>
    <row r="1484" spans="2:15">
      <c r="B1484" s="83"/>
      <c r="C1484" s="84"/>
      <c r="D1484" s="85"/>
      <c r="E1484" s="85"/>
      <c r="F1484" s="86"/>
      <c r="G1484" s="86"/>
      <c r="H1484" s="87"/>
      <c r="I1484" s="86"/>
      <c r="J1484" s="87"/>
      <c r="K1484" s="86"/>
      <c r="L1484" s="86"/>
      <c r="M1484" s="87"/>
      <c r="N1484" s="86"/>
      <c r="O1484" s="87"/>
    </row>
    <row r="1485" spans="2:15">
      <c r="B1485" s="83"/>
      <c r="C1485" s="84"/>
      <c r="D1485" s="85"/>
      <c r="E1485" s="85"/>
      <c r="F1485" s="86"/>
      <c r="G1485" s="86"/>
      <c r="H1485" s="87"/>
      <c r="I1485" s="86"/>
      <c r="J1485" s="87"/>
      <c r="K1485" s="86"/>
      <c r="L1485" s="86"/>
      <c r="M1485" s="87"/>
      <c r="N1485" s="86"/>
      <c r="O1485" s="87"/>
    </row>
    <row r="1486" spans="2:15">
      <c r="B1486" s="83"/>
      <c r="C1486" s="84"/>
      <c r="D1486" s="85"/>
      <c r="E1486" s="85"/>
      <c r="F1486" s="86"/>
      <c r="G1486" s="86"/>
      <c r="H1486" s="87"/>
      <c r="I1486" s="86"/>
      <c r="J1486" s="87"/>
      <c r="K1486" s="86"/>
      <c r="L1486" s="86"/>
      <c r="M1486" s="87"/>
      <c r="N1486" s="86"/>
      <c r="O1486" s="87"/>
    </row>
    <row r="1487" spans="2:15">
      <c r="B1487" s="83"/>
      <c r="C1487" s="84"/>
      <c r="D1487" s="85"/>
      <c r="E1487" s="85"/>
      <c r="F1487" s="86"/>
      <c r="G1487" s="86"/>
      <c r="H1487" s="87"/>
      <c r="I1487" s="86"/>
      <c r="J1487" s="87"/>
      <c r="K1487" s="86"/>
      <c r="L1487" s="86"/>
      <c r="M1487" s="87"/>
      <c r="N1487" s="86"/>
      <c r="O1487" s="87"/>
    </row>
    <row r="1488" spans="2:15">
      <c r="B1488" s="83"/>
      <c r="C1488" s="84"/>
      <c r="D1488" s="85"/>
      <c r="E1488" s="85"/>
      <c r="F1488" s="86"/>
      <c r="G1488" s="86"/>
      <c r="H1488" s="87"/>
      <c r="I1488" s="86"/>
      <c r="J1488" s="87"/>
      <c r="K1488" s="86"/>
      <c r="L1488" s="86"/>
      <c r="M1488" s="87"/>
      <c r="N1488" s="86"/>
      <c r="O1488" s="87"/>
    </row>
    <row r="1489" spans="2:15">
      <c r="B1489" s="83"/>
      <c r="C1489" s="84"/>
      <c r="D1489" s="85"/>
      <c r="E1489" s="85"/>
      <c r="F1489" s="86"/>
      <c r="G1489" s="86"/>
      <c r="H1489" s="87"/>
      <c r="I1489" s="86"/>
      <c r="J1489" s="87"/>
      <c r="K1489" s="86"/>
      <c r="L1489" s="86"/>
      <c r="M1489" s="87"/>
      <c r="N1489" s="86"/>
      <c r="O1489" s="87"/>
    </row>
    <row r="1490" spans="2:15">
      <c r="B1490" s="83"/>
      <c r="C1490" s="84"/>
      <c r="D1490" s="85"/>
      <c r="E1490" s="85"/>
      <c r="F1490" s="86"/>
      <c r="G1490" s="86"/>
      <c r="H1490" s="87"/>
      <c r="I1490" s="86"/>
      <c r="J1490" s="87"/>
      <c r="K1490" s="86"/>
      <c r="L1490" s="86"/>
      <c r="M1490" s="87"/>
      <c r="N1490" s="86"/>
      <c r="O1490" s="87"/>
    </row>
    <row r="1491" spans="2:15">
      <c r="B1491" s="83"/>
      <c r="C1491" s="84"/>
      <c r="D1491" s="85"/>
      <c r="E1491" s="85"/>
      <c r="F1491" s="86"/>
      <c r="G1491" s="86"/>
      <c r="H1491" s="87"/>
      <c r="I1491" s="86"/>
      <c r="J1491" s="87"/>
      <c r="K1491" s="86"/>
      <c r="L1491" s="86"/>
      <c r="M1491" s="87"/>
      <c r="N1491" s="86"/>
      <c r="O1491" s="87"/>
    </row>
    <row r="1492" spans="2:15">
      <c r="B1492" s="83"/>
      <c r="C1492" s="84"/>
      <c r="D1492" s="85"/>
      <c r="E1492" s="85"/>
      <c r="F1492" s="86"/>
      <c r="G1492" s="86"/>
      <c r="H1492" s="87"/>
      <c r="I1492" s="86"/>
      <c r="J1492" s="87"/>
      <c r="K1492" s="86"/>
      <c r="L1492" s="86"/>
      <c r="M1492" s="87"/>
      <c r="N1492" s="86"/>
      <c r="O1492" s="87"/>
    </row>
    <row r="1493" spans="2:15">
      <c r="B1493" s="83"/>
      <c r="C1493" s="84"/>
      <c r="D1493" s="85"/>
      <c r="E1493" s="85"/>
      <c r="F1493" s="86"/>
      <c r="G1493" s="86"/>
      <c r="H1493" s="87"/>
      <c r="I1493" s="86"/>
      <c r="J1493" s="87"/>
      <c r="K1493" s="86"/>
      <c r="L1493" s="86"/>
      <c r="M1493" s="87"/>
      <c r="N1493" s="86"/>
      <c r="O1493" s="87"/>
    </row>
    <row r="1494" spans="2:15">
      <c r="B1494" s="83"/>
      <c r="C1494" s="84"/>
      <c r="D1494" s="85"/>
      <c r="E1494" s="85"/>
      <c r="F1494" s="86"/>
      <c r="G1494" s="86"/>
      <c r="H1494" s="87"/>
      <c r="I1494" s="86"/>
      <c r="J1494" s="87"/>
      <c r="K1494" s="86"/>
      <c r="L1494" s="86"/>
      <c r="M1494" s="87"/>
      <c r="N1494" s="86"/>
      <c r="O1494" s="87"/>
    </row>
    <row r="1495" spans="2:15">
      <c r="B1495" s="83"/>
      <c r="C1495" s="84"/>
      <c r="D1495" s="85"/>
      <c r="E1495" s="85"/>
      <c r="F1495" s="86"/>
      <c r="G1495" s="86"/>
      <c r="H1495" s="87"/>
      <c r="I1495" s="86"/>
      <c r="J1495" s="87"/>
      <c r="K1495" s="86"/>
      <c r="L1495" s="86"/>
      <c r="M1495" s="87"/>
      <c r="N1495" s="86"/>
      <c r="O1495" s="87"/>
    </row>
    <row r="1496" spans="2:15">
      <c r="B1496" s="83"/>
      <c r="C1496" s="84"/>
      <c r="D1496" s="85"/>
      <c r="E1496" s="85"/>
      <c r="F1496" s="86"/>
      <c r="G1496" s="86"/>
      <c r="H1496" s="87"/>
      <c r="I1496" s="86"/>
      <c r="J1496" s="87"/>
      <c r="K1496" s="86"/>
      <c r="L1496" s="86"/>
      <c r="M1496" s="87"/>
      <c r="N1496" s="86"/>
      <c r="O1496" s="87"/>
    </row>
    <row r="1497" spans="2:15">
      <c r="B1497" s="83"/>
      <c r="C1497" s="84"/>
      <c r="D1497" s="85"/>
      <c r="E1497" s="85"/>
      <c r="F1497" s="86"/>
      <c r="G1497" s="86"/>
      <c r="H1497" s="87"/>
      <c r="I1497" s="86"/>
      <c r="J1497" s="87"/>
      <c r="K1497" s="86"/>
      <c r="L1497" s="86"/>
      <c r="M1497" s="87"/>
      <c r="N1497" s="86"/>
      <c r="O1497" s="87"/>
    </row>
    <row r="1498" spans="2:15">
      <c r="B1498" s="83"/>
      <c r="C1498" s="84"/>
      <c r="D1498" s="85"/>
      <c r="E1498" s="85"/>
      <c r="F1498" s="86"/>
      <c r="G1498" s="86"/>
      <c r="H1498" s="87"/>
      <c r="I1498" s="86"/>
      <c r="J1498" s="87"/>
      <c r="K1498" s="86"/>
      <c r="L1498" s="86"/>
      <c r="M1498" s="87"/>
      <c r="N1498" s="86"/>
      <c r="O1498" s="87"/>
    </row>
    <row r="1499" spans="2:15">
      <c r="B1499" s="83"/>
      <c r="C1499" s="84"/>
      <c r="D1499" s="85"/>
      <c r="E1499" s="85"/>
      <c r="F1499" s="86"/>
      <c r="G1499" s="86"/>
      <c r="H1499" s="87"/>
      <c r="I1499" s="86"/>
      <c r="J1499" s="87"/>
      <c r="K1499" s="86"/>
      <c r="L1499" s="86"/>
      <c r="M1499" s="87"/>
      <c r="N1499" s="86"/>
      <c r="O1499" s="87"/>
    </row>
    <row r="1500" spans="2:15">
      <c r="B1500" s="83"/>
      <c r="C1500" s="84"/>
      <c r="D1500" s="85"/>
      <c r="E1500" s="85"/>
      <c r="F1500" s="86"/>
      <c r="G1500" s="86"/>
      <c r="H1500" s="87"/>
      <c r="I1500" s="86"/>
      <c r="J1500" s="87"/>
      <c r="K1500" s="86"/>
      <c r="L1500" s="86"/>
      <c r="M1500" s="87"/>
      <c r="N1500" s="86"/>
      <c r="O1500" s="87"/>
    </row>
    <row r="1501" spans="2:15">
      <c r="B1501" s="83"/>
      <c r="C1501" s="84"/>
      <c r="D1501" s="85"/>
      <c r="E1501" s="85"/>
      <c r="F1501" s="86"/>
      <c r="G1501" s="86"/>
      <c r="H1501" s="87"/>
      <c r="I1501" s="86"/>
      <c r="J1501" s="87"/>
      <c r="K1501" s="86"/>
      <c r="L1501" s="86"/>
      <c r="M1501" s="87"/>
      <c r="N1501" s="86"/>
      <c r="O1501" s="87"/>
    </row>
    <row r="1502" spans="2:15">
      <c r="B1502" s="83"/>
      <c r="C1502" s="84"/>
      <c r="D1502" s="85"/>
      <c r="E1502" s="85"/>
      <c r="F1502" s="86"/>
      <c r="G1502" s="86"/>
      <c r="H1502" s="87"/>
      <c r="I1502" s="86"/>
      <c r="J1502" s="87"/>
      <c r="K1502" s="86"/>
      <c r="L1502" s="86"/>
      <c r="M1502" s="87"/>
      <c r="N1502" s="86"/>
      <c r="O1502" s="87"/>
    </row>
    <row r="1503" spans="2:15">
      <c r="B1503" s="83"/>
      <c r="C1503" s="84"/>
      <c r="D1503" s="85"/>
      <c r="E1503" s="85"/>
      <c r="F1503" s="86"/>
      <c r="G1503" s="86"/>
      <c r="H1503" s="87"/>
      <c r="I1503" s="86"/>
      <c r="J1503" s="87"/>
      <c r="K1503" s="86"/>
      <c r="L1503" s="86"/>
      <c r="M1503" s="87"/>
      <c r="N1503" s="86"/>
      <c r="O1503" s="87"/>
    </row>
    <row r="1504" spans="2:15">
      <c r="B1504" s="83"/>
      <c r="C1504" s="84"/>
      <c r="D1504" s="85"/>
      <c r="E1504" s="85"/>
      <c r="F1504" s="86"/>
      <c r="G1504" s="86"/>
      <c r="H1504" s="87"/>
      <c r="I1504" s="86"/>
      <c r="J1504" s="87"/>
      <c r="K1504" s="86"/>
      <c r="L1504" s="86"/>
      <c r="M1504" s="87"/>
      <c r="N1504" s="86"/>
      <c r="O1504" s="87"/>
    </row>
    <row r="1505" spans="2:15">
      <c r="B1505" s="83"/>
      <c r="C1505" s="84"/>
      <c r="D1505" s="85"/>
      <c r="E1505" s="85"/>
      <c r="F1505" s="86"/>
      <c r="G1505" s="86"/>
      <c r="H1505" s="87"/>
      <c r="I1505" s="86"/>
      <c r="J1505" s="87"/>
      <c r="K1505" s="86"/>
      <c r="L1505" s="86"/>
      <c r="M1505" s="87"/>
      <c r="N1505" s="86"/>
      <c r="O1505" s="87"/>
    </row>
    <row r="1506" spans="2:15">
      <c r="B1506" s="83"/>
      <c r="C1506" s="84"/>
      <c r="D1506" s="85"/>
      <c r="E1506" s="85"/>
      <c r="F1506" s="86"/>
      <c r="G1506" s="86"/>
      <c r="H1506" s="87"/>
      <c r="I1506" s="86"/>
      <c r="J1506" s="87"/>
      <c r="K1506" s="86"/>
      <c r="L1506" s="86"/>
      <c r="M1506" s="87"/>
      <c r="N1506" s="86"/>
      <c r="O1506" s="87"/>
    </row>
    <row r="1507" spans="2:15">
      <c r="B1507" s="83"/>
      <c r="C1507" s="84"/>
      <c r="D1507" s="85"/>
      <c r="E1507" s="85"/>
      <c r="F1507" s="86"/>
      <c r="G1507" s="86"/>
      <c r="H1507" s="87"/>
      <c r="I1507" s="86"/>
      <c r="J1507" s="87"/>
      <c r="K1507" s="86"/>
      <c r="L1507" s="86"/>
      <c r="M1507" s="87"/>
      <c r="N1507" s="86"/>
      <c r="O1507" s="87"/>
    </row>
    <row r="1508" spans="2:15">
      <c r="B1508" s="83"/>
      <c r="C1508" s="84"/>
      <c r="D1508" s="85"/>
      <c r="E1508" s="85"/>
      <c r="F1508" s="86"/>
      <c r="G1508" s="86"/>
      <c r="H1508" s="87"/>
      <c r="I1508" s="86"/>
      <c r="J1508" s="87"/>
      <c r="K1508" s="86"/>
      <c r="L1508" s="86"/>
      <c r="M1508" s="87"/>
      <c r="N1508" s="86"/>
      <c r="O1508" s="87"/>
    </row>
    <row r="1509" spans="2:15">
      <c r="B1509" s="83"/>
      <c r="C1509" s="84"/>
      <c r="D1509" s="85"/>
      <c r="E1509" s="85"/>
      <c r="F1509" s="86"/>
      <c r="G1509" s="86"/>
      <c r="H1509" s="87"/>
      <c r="I1509" s="86"/>
      <c r="J1509" s="87"/>
      <c r="K1509" s="86"/>
      <c r="L1509" s="86"/>
      <c r="M1509" s="87"/>
      <c r="N1509" s="86"/>
      <c r="O1509" s="87"/>
    </row>
    <row r="1510" spans="2:15">
      <c r="B1510" s="83"/>
      <c r="C1510" s="84"/>
      <c r="D1510" s="85"/>
      <c r="E1510" s="85"/>
      <c r="F1510" s="86"/>
      <c r="G1510" s="86"/>
      <c r="H1510" s="87"/>
      <c r="I1510" s="86"/>
      <c r="J1510" s="87"/>
      <c r="K1510" s="86"/>
      <c r="L1510" s="86"/>
      <c r="M1510" s="87"/>
      <c r="N1510" s="86"/>
      <c r="O1510" s="87"/>
    </row>
    <row r="1511" spans="2:15">
      <c r="B1511" s="83"/>
      <c r="C1511" s="84"/>
      <c r="D1511" s="85"/>
      <c r="E1511" s="85"/>
      <c r="F1511" s="86"/>
      <c r="G1511" s="86"/>
      <c r="H1511" s="87"/>
      <c r="I1511" s="86"/>
      <c r="J1511" s="87"/>
      <c r="K1511" s="86"/>
      <c r="L1511" s="86"/>
      <c r="M1511" s="87"/>
      <c r="N1511" s="86"/>
      <c r="O1511" s="87"/>
    </row>
    <row r="1512" spans="2:15">
      <c r="B1512" s="83"/>
      <c r="C1512" s="84"/>
      <c r="D1512" s="85"/>
      <c r="E1512" s="85"/>
      <c r="F1512" s="86"/>
      <c r="G1512" s="86"/>
      <c r="H1512" s="87"/>
      <c r="I1512" s="86"/>
      <c r="J1512" s="87"/>
      <c r="K1512" s="86"/>
      <c r="L1512" s="86"/>
      <c r="M1512" s="87"/>
      <c r="N1512" s="86"/>
      <c r="O1512" s="87"/>
    </row>
    <row r="1513" spans="2:15">
      <c r="B1513" s="83"/>
      <c r="C1513" s="84"/>
      <c r="D1513" s="85"/>
      <c r="E1513" s="85"/>
      <c r="F1513" s="86"/>
      <c r="G1513" s="86"/>
      <c r="H1513" s="87"/>
      <c r="I1513" s="86"/>
      <c r="J1513" s="87"/>
      <c r="K1513" s="86"/>
      <c r="L1513" s="86"/>
      <c r="M1513" s="87"/>
      <c r="N1513" s="86"/>
      <c r="O1513" s="87"/>
    </row>
    <row r="1514" spans="2:15">
      <c r="B1514" s="83"/>
      <c r="C1514" s="84"/>
      <c r="D1514" s="85"/>
      <c r="E1514" s="85"/>
      <c r="F1514" s="86"/>
      <c r="G1514" s="86"/>
      <c r="H1514" s="87"/>
      <c r="I1514" s="86"/>
      <c r="J1514" s="87"/>
      <c r="K1514" s="86"/>
      <c r="L1514" s="86"/>
      <c r="M1514" s="87"/>
      <c r="N1514" s="86"/>
      <c r="O1514" s="87"/>
    </row>
    <row r="1515" spans="2:15">
      <c r="B1515" s="83"/>
      <c r="C1515" s="84"/>
      <c r="D1515" s="85"/>
      <c r="E1515" s="85"/>
      <c r="F1515" s="86"/>
      <c r="G1515" s="86"/>
      <c r="H1515" s="87"/>
      <c r="I1515" s="86"/>
      <c r="J1515" s="87"/>
      <c r="K1515" s="86"/>
      <c r="L1515" s="86"/>
      <c r="M1515" s="87"/>
      <c r="N1515" s="86"/>
      <c r="O1515" s="87"/>
    </row>
    <row r="1516" spans="2:15">
      <c r="B1516" s="83"/>
      <c r="C1516" s="84"/>
      <c r="D1516" s="85"/>
      <c r="E1516" s="85"/>
      <c r="F1516" s="86"/>
      <c r="G1516" s="86"/>
      <c r="H1516" s="87"/>
      <c r="I1516" s="86"/>
      <c r="J1516" s="87"/>
      <c r="K1516" s="86"/>
      <c r="L1516" s="86"/>
      <c r="M1516" s="87"/>
      <c r="N1516" s="86"/>
      <c r="O1516" s="87"/>
    </row>
    <row r="1517" spans="2:15">
      <c r="B1517" s="83"/>
      <c r="C1517" s="84"/>
      <c r="D1517" s="85"/>
      <c r="E1517" s="85"/>
      <c r="F1517" s="86"/>
      <c r="G1517" s="86"/>
      <c r="H1517" s="87"/>
      <c r="I1517" s="86"/>
      <c r="J1517" s="87"/>
      <c r="K1517" s="86"/>
      <c r="L1517" s="86"/>
      <c r="M1517" s="87"/>
      <c r="N1517" s="86"/>
      <c r="O1517" s="87"/>
    </row>
    <row r="1518" spans="2:15">
      <c r="B1518" s="83"/>
      <c r="C1518" s="84"/>
      <c r="D1518" s="85"/>
      <c r="E1518" s="85"/>
      <c r="F1518" s="86"/>
      <c r="G1518" s="86"/>
      <c r="H1518" s="87"/>
      <c r="I1518" s="86"/>
      <c r="J1518" s="87"/>
      <c r="K1518" s="86"/>
      <c r="L1518" s="86"/>
      <c r="M1518" s="87"/>
      <c r="N1518" s="86"/>
      <c r="O1518" s="87"/>
    </row>
    <row r="1519" spans="2:15">
      <c r="B1519" s="83"/>
      <c r="C1519" s="84"/>
      <c r="D1519" s="85"/>
      <c r="E1519" s="85"/>
      <c r="F1519" s="86"/>
      <c r="G1519" s="86"/>
      <c r="H1519" s="87"/>
      <c r="I1519" s="86"/>
      <c r="J1519" s="87"/>
      <c r="K1519" s="86"/>
      <c r="L1519" s="86"/>
      <c r="M1519" s="87"/>
      <c r="N1519" s="86"/>
      <c r="O1519" s="87"/>
    </row>
    <row r="1520" spans="2:15">
      <c r="B1520" s="83"/>
      <c r="C1520" s="84"/>
      <c r="D1520" s="85"/>
      <c r="E1520" s="85"/>
      <c r="F1520" s="86"/>
      <c r="G1520" s="86"/>
      <c r="H1520" s="87"/>
      <c r="I1520" s="86"/>
      <c r="J1520" s="87"/>
      <c r="K1520" s="86"/>
      <c r="L1520" s="86"/>
      <c r="M1520" s="87"/>
      <c r="N1520" s="86"/>
      <c r="O1520" s="87"/>
    </row>
    <row r="1521" spans="2:15">
      <c r="B1521" s="83"/>
      <c r="C1521" s="84"/>
      <c r="D1521" s="85"/>
      <c r="E1521" s="85"/>
      <c r="F1521" s="86"/>
      <c r="G1521" s="86"/>
      <c r="H1521" s="87"/>
      <c r="I1521" s="86"/>
      <c r="J1521" s="87"/>
      <c r="K1521" s="86"/>
      <c r="L1521" s="86"/>
      <c r="M1521" s="87"/>
      <c r="N1521" s="86"/>
      <c r="O1521" s="87"/>
    </row>
    <row r="1522" spans="2:15">
      <c r="B1522" s="83"/>
      <c r="C1522" s="84"/>
      <c r="D1522" s="85"/>
      <c r="E1522" s="85"/>
      <c r="F1522" s="86"/>
      <c r="G1522" s="86"/>
      <c r="H1522" s="87"/>
      <c r="I1522" s="86"/>
      <c r="J1522" s="87"/>
      <c r="K1522" s="86"/>
      <c r="L1522" s="86"/>
      <c r="M1522" s="87"/>
      <c r="N1522" s="86"/>
      <c r="O1522" s="87"/>
    </row>
    <row r="1523" spans="2:15">
      <c r="B1523" s="83"/>
      <c r="C1523" s="84"/>
      <c r="D1523" s="85"/>
      <c r="E1523" s="85"/>
      <c r="F1523" s="86"/>
      <c r="G1523" s="86"/>
      <c r="H1523" s="87"/>
      <c r="I1523" s="86"/>
      <c r="J1523" s="87"/>
      <c r="K1523" s="86"/>
      <c r="L1523" s="86"/>
      <c r="M1523" s="87"/>
      <c r="N1523" s="86"/>
      <c r="O1523" s="87"/>
    </row>
    <row r="1524" spans="2:15">
      <c r="B1524" s="83"/>
      <c r="C1524" s="84"/>
      <c r="D1524" s="85"/>
      <c r="E1524" s="85"/>
      <c r="F1524" s="86"/>
      <c r="G1524" s="86"/>
      <c r="H1524" s="87"/>
      <c r="I1524" s="86"/>
      <c r="J1524" s="87"/>
      <c r="K1524" s="86"/>
      <c r="L1524" s="86"/>
      <c r="M1524" s="87"/>
      <c r="N1524" s="86"/>
      <c r="O1524" s="87"/>
    </row>
    <row r="1525" spans="2:15">
      <c r="B1525" s="83"/>
      <c r="C1525" s="84"/>
      <c r="D1525" s="85"/>
      <c r="E1525" s="85"/>
      <c r="F1525" s="86"/>
      <c r="G1525" s="86"/>
      <c r="H1525" s="87"/>
      <c r="I1525" s="86"/>
      <c r="J1525" s="87"/>
      <c r="K1525" s="86"/>
      <c r="L1525" s="86"/>
      <c r="M1525" s="87"/>
      <c r="N1525" s="86"/>
      <c r="O1525" s="87"/>
    </row>
    <row r="1526" spans="2:15">
      <c r="B1526" s="83"/>
      <c r="C1526" s="84"/>
      <c r="D1526" s="85"/>
      <c r="E1526" s="85"/>
      <c r="F1526" s="86"/>
      <c r="G1526" s="86"/>
      <c r="H1526" s="87"/>
      <c r="I1526" s="86"/>
      <c r="J1526" s="87"/>
      <c r="K1526" s="86"/>
      <c r="L1526" s="86"/>
      <c r="M1526" s="87"/>
      <c r="N1526" s="86"/>
      <c r="O1526" s="87"/>
    </row>
    <row r="1527" spans="2:15">
      <c r="B1527" s="83"/>
      <c r="C1527" s="84"/>
      <c r="D1527" s="85"/>
      <c r="E1527" s="85"/>
      <c r="F1527" s="86"/>
      <c r="G1527" s="86"/>
      <c r="H1527" s="87"/>
      <c r="I1527" s="86"/>
      <c r="J1527" s="87"/>
      <c r="K1527" s="86"/>
      <c r="L1527" s="86"/>
      <c r="M1527" s="87"/>
      <c r="N1527" s="86"/>
      <c r="O1527" s="87"/>
    </row>
    <row r="1528" spans="2:15">
      <c r="B1528" s="83"/>
      <c r="C1528" s="84"/>
      <c r="D1528" s="85"/>
      <c r="E1528" s="85"/>
      <c r="F1528" s="86"/>
      <c r="G1528" s="86"/>
      <c r="H1528" s="87"/>
      <c r="I1528" s="86"/>
      <c r="J1528" s="87"/>
      <c r="K1528" s="86"/>
      <c r="L1528" s="86"/>
      <c r="M1528" s="87"/>
      <c r="N1528" s="86"/>
      <c r="O1528" s="87"/>
    </row>
    <row r="1529" spans="2:15">
      <c r="B1529" s="83"/>
      <c r="C1529" s="84"/>
      <c r="D1529" s="85"/>
      <c r="E1529" s="85"/>
      <c r="F1529" s="86"/>
      <c r="G1529" s="86"/>
      <c r="H1529" s="87"/>
      <c r="I1529" s="86"/>
      <c r="J1529" s="87"/>
      <c r="K1529" s="86"/>
      <c r="L1529" s="86"/>
      <c r="M1529" s="87"/>
      <c r="N1529" s="86"/>
      <c r="O1529" s="87"/>
    </row>
    <row r="1530" spans="2:15">
      <c r="B1530" s="83"/>
      <c r="C1530" s="84"/>
      <c r="D1530" s="85"/>
      <c r="E1530" s="85"/>
      <c r="F1530" s="86"/>
      <c r="G1530" s="86"/>
      <c r="H1530" s="87"/>
      <c r="I1530" s="86"/>
      <c r="J1530" s="87"/>
      <c r="K1530" s="86"/>
      <c r="L1530" s="86"/>
      <c r="M1530" s="87"/>
      <c r="N1530" s="86"/>
      <c r="O1530" s="87"/>
    </row>
    <row r="1531" spans="2:15">
      <c r="B1531" s="83"/>
      <c r="C1531" s="84"/>
      <c r="D1531" s="85"/>
      <c r="E1531" s="85"/>
      <c r="F1531" s="86"/>
      <c r="G1531" s="86"/>
      <c r="H1531" s="87"/>
      <c r="I1531" s="86"/>
      <c r="J1531" s="87"/>
      <c r="K1531" s="86"/>
      <c r="L1531" s="86"/>
      <c r="M1531" s="87"/>
      <c r="N1531" s="86"/>
      <c r="O1531" s="87"/>
    </row>
    <row r="1532" spans="2:15">
      <c r="B1532" s="83"/>
      <c r="C1532" s="84"/>
      <c r="D1532" s="85"/>
      <c r="E1532" s="85"/>
      <c r="F1532" s="86"/>
      <c r="G1532" s="86"/>
      <c r="H1532" s="87"/>
      <c r="I1532" s="86"/>
      <c r="J1532" s="87"/>
      <c r="K1532" s="86"/>
      <c r="L1532" s="86"/>
      <c r="M1532" s="87"/>
      <c r="N1532" s="86"/>
      <c r="O1532" s="87"/>
    </row>
    <row r="1533" spans="2:15">
      <c r="B1533" s="83"/>
      <c r="C1533" s="84"/>
      <c r="D1533" s="85"/>
      <c r="E1533" s="85"/>
      <c r="F1533" s="86"/>
      <c r="G1533" s="86"/>
      <c r="H1533" s="87"/>
      <c r="I1533" s="86"/>
      <c r="J1533" s="87"/>
      <c r="K1533" s="86"/>
      <c r="L1533" s="86"/>
      <c r="M1533" s="87"/>
      <c r="N1533" s="86"/>
      <c r="O1533" s="87"/>
    </row>
    <row r="1534" spans="2:15">
      <c r="B1534" s="83"/>
      <c r="C1534" s="84"/>
      <c r="D1534" s="85"/>
      <c r="E1534" s="85"/>
      <c r="F1534" s="86"/>
      <c r="G1534" s="86"/>
      <c r="H1534" s="87"/>
      <c r="I1534" s="86"/>
      <c r="J1534" s="87"/>
      <c r="K1534" s="86"/>
      <c r="L1534" s="86"/>
      <c r="M1534" s="87"/>
      <c r="N1534" s="86"/>
      <c r="O1534" s="87"/>
    </row>
    <row r="1535" spans="2:15">
      <c r="B1535" s="83"/>
      <c r="C1535" s="84"/>
      <c r="D1535" s="85"/>
      <c r="E1535" s="85"/>
      <c r="F1535" s="86"/>
      <c r="G1535" s="86"/>
      <c r="H1535" s="87"/>
      <c r="I1535" s="86"/>
      <c r="J1535" s="87"/>
      <c r="K1535" s="86"/>
      <c r="L1535" s="86"/>
      <c r="M1535" s="87"/>
      <c r="N1535" s="86"/>
      <c r="O1535" s="87"/>
    </row>
    <row r="1536" spans="2:15">
      <c r="B1536" s="83"/>
      <c r="C1536" s="84"/>
      <c r="D1536" s="85"/>
      <c r="E1536" s="85"/>
      <c r="F1536" s="86"/>
      <c r="G1536" s="86"/>
      <c r="H1536" s="87"/>
      <c r="I1536" s="86"/>
      <c r="J1536" s="87"/>
      <c r="K1536" s="86"/>
      <c r="L1536" s="86"/>
      <c r="M1536" s="87"/>
      <c r="N1536" s="86"/>
      <c r="O1536" s="87"/>
    </row>
    <row r="1537" spans="2:15">
      <c r="B1537" s="83"/>
      <c r="C1537" s="84"/>
      <c r="D1537" s="85"/>
      <c r="E1537" s="85"/>
      <c r="F1537" s="86"/>
      <c r="G1537" s="86"/>
      <c r="H1537" s="87"/>
      <c r="I1537" s="86"/>
      <c r="J1537" s="87"/>
      <c r="K1537" s="86"/>
      <c r="L1537" s="86"/>
      <c r="M1537" s="87"/>
      <c r="N1537" s="86"/>
      <c r="O1537" s="87"/>
    </row>
    <row r="1538" spans="2:15">
      <c r="B1538" s="83"/>
      <c r="C1538" s="84"/>
      <c r="D1538" s="85"/>
      <c r="E1538" s="85"/>
      <c r="F1538" s="86"/>
      <c r="G1538" s="86"/>
      <c r="H1538" s="87"/>
      <c r="I1538" s="86"/>
      <c r="J1538" s="87"/>
      <c r="K1538" s="86"/>
      <c r="L1538" s="86"/>
      <c r="M1538" s="87"/>
      <c r="N1538" s="86"/>
      <c r="O1538" s="87"/>
    </row>
    <row r="1539" spans="2:15">
      <c r="B1539" s="83"/>
      <c r="C1539" s="84"/>
      <c r="D1539" s="85"/>
      <c r="E1539" s="85"/>
      <c r="F1539" s="86"/>
      <c r="G1539" s="86"/>
      <c r="H1539" s="87"/>
      <c r="I1539" s="86"/>
      <c r="J1539" s="87"/>
      <c r="K1539" s="86"/>
      <c r="L1539" s="86"/>
      <c r="M1539" s="87"/>
      <c r="N1539" s="86"/>
      <c r="O1539" s="87"/>
    </row>
    <row r="1540" spans="2:15">
      <c r="B1540" s="83"/>
      <c r="C1540" s="84"/>
      <c r="D1540" s="85"/>
      <c r="E1540" s="85"/>
      <c r="F1540" s="86"/>
      <c r="G1540" s="86"/>
      <c r="H1540" s="87"/>
      <c r="I1540" s="86"/>
      <c r="J1540" s="87"/>
      <c r="K1540" s="86"/>
      <c r="L1540" s="86"/>
      <c r="M1540" s="87"/>
      <c r="N1540" s="86"/>
      <c r="O1540" s="87"/>
    </row>
    <row r="1541" spans="2:15">
      <c r="B1541" s="83"/>
      <c r="C1541" s="84"/>
      <c r="D1541" s="85"/>
      <c r="E1541" s="85"/>
      <c r="F1541" s="86"/>
      <c r="G1541" s="86"/>
      <c r="H1541" s="87"/>
      <c r="I1541" s="86"/>
      <c r="J1541" s="87"/>
      <c r="K1541" s="86"/>
      <c r="L1541" s="86"/>
      <c r="M1541" s="87"/>
      <c r="N1541" s="86"/>
      <c r="O1541" s="87"/>
    </row>
    <row r="1542" spans="2:15">
      <c r="B1542" s="83"/>
      <c r="C1542" s="84"/>
      <c r="D1542" s="85"/>
      <c r="E1542" s="85"/>
      <c r="F1542" s="86"/>
      <c r="G1542" s="86"/>
      <c r="H1542" s="87"/>
      <c r="I1542" s="86"/>
      <c r="J1542" s="87"/>
      <c r="K1542" s="86"/>
      <c r="L1542" s="86"/>
      <c r="M1542" s="87"/>
      <c r="N1542" s="86"/>
      <c r="O1542" s="87"/>
    </row>
    <row r="1543" spans="2:15">
      <c r="B1543" s="83"/>
      <c r="C1543" s="84"/>
      <c r="D1543" s="85"/>
      <c r="E1543" s="85"/>
      <c r="F1543" s="86"/>
      <c r="G1543" s="86"/>
      <c r="H1543" s="87"/>
      <c r="I1543" s="86"/>
      <c r="J1543" s="87"/>
      <c r="K1543" s="86"/>
      <c r="L1543" s="86"/>
      <c r="M1543" s="87"/>
      <c r="N1543" s="86"/>
      <c r="O1543" s="87"/>
    </row>
    <row r="1544" spans="2:15">
      <c r="B1544" s="83"/>
      <c r="C1544" s="84"/>
      <c r="D1544" s="85"/>
      <c r="E1544" s="85"/>
      <c r="F1544" s="86"/>
      <c r="G1544" s="86"/>
      <c r="H1544" s="87"/>
      <c r="I1544" s="86"/>
      <c r="J1544" s="87"/>
      <c r="K1544" s="86"/>
      <c r="L1544" s="86"/>
      <c r="M1544" s="87"/>
      <c r="N1544" s="86"/>
      <c r="O1544" s="87"/>
    </row>
    <row r="1545" spans="2:15">
      <c r="B1545" s="83"/>
      <c r="C1545" s="84"/>
      <c r="D1545" s="85"/>
      <c r="E1545" s="85"/>
      <c r="F1545" s="86"/>
      <c r="G1545" s="86"/>
      <c r="H1545" s="87"/>
      <c r="I1545" s="86"/>
      <c r="J1545" s="87"/>
      <c r="K1545" s="86"/>
      <c r="L1545" s="86"/>
      <c r="M1545" s="87"/>
      <c r="N1545" s="86"/>
      <c r="O1545" s="87"/>
    </row>
    <row r="1546" spans="2:15">
      <c r="B1546" s="83"/>
      <c r="C1546" s="84"/>
      <c r="D1546" s="85"/>
      <c r="E1546" s="85"/>
      <c r="F1546" s="86"/>
      <c r="G1546" s="86"/>
      <c r="H1546" s="87"/>
      <c r="I1546" s="86"/>
      <c r="J1546" s="87"/>
      <c r="K1546" s="86"/>
      <c r="L1546" s="86"/>
      <c r="M1546" s="87"/>
      <c r="N1546" s="86"/>
      <c r="O1546" s="87"/>
    </row>
    <row r="1547" spans="2:15">
      <c r="B1547" s="83"/>
      <c r="C1547" s="84"/>
      <c r="D1547" s="85"/>
      <c r="E1547" s="85"/>
      <c r="F1547" s="86"/>
      <c r="G1547" s="86"/>
      <c r="H1547" s="87"/>
      <c r="I1547" s="86"/>
      <c r="J1547" s="87"/>
      <c r="K1547" s="86"/>
      <c r="L1547" s="86"/>
      <c r="M1547" s="87"/>
      <c r="N1547" s="86"/>
      <c r="O1547" s="87"/>
    </row>
    <row r="1548" spans="2:15">
      <c r="B1548" s="83"/>
      <c r="C1548" s="84"/>
      <c r="D1548" s="85"/>
      <c r="E1548" s="85"/>
      <c r="F1548" s="86"/>
      <c r="G1548" s="86"/>
      <c r="H1548" s="87"/>
      <c r="I1548" s="86"/>
      <c r="J1548" s="87"/>
      <c r="K1548" s="86"/>
      <c r="L1548" s="86"/>
      <c r="M1548" s="87"/>
      <c r="N1548" s="86"/>
      <c r="O1548" s="87"/>
    </row>
    <row r="1549" spans="2:15">
      <c r="B1549" s="83"/>
      <c r="C1549" s="84"/>
      <c r="D1549" s="85"/>
      <c r="E1549" s="85"/>
      <c r="F1549" s="86"/>
      <c r="G1549" s="86"/>
      <c r="H1549" s="87"/>
      <c r="I1549" s="86"/>
      <c r="J1549" s="87"/>
      <c r="K1549" s="86"/>
      <c r="L1549" s="86"/>
      <c r="M1549" s="87"/>
      <c r="N1549" s="86"/>
      <c r="O1549" s="87"/>
    </row>
    <row r="1550" spans="2:15">
      <c r="B1550" s="83"/>
      <c r="C1550" s="84"/>
      <c r="D1550" s="85"/>
      <c r="E1550" s="85"/>
      <c r="F1550" s="86"/>
      <c r="G1550" s="86"/>
      <c r="H1550" s="87"/>
      <c r="I1550" s="86"/>
      <c r="J1550" s="87"/>
      <c r="K1550" s="86"/>
      <c r="L1550" s="86"/>
      <c r="M1550" s="87"/>
      <c r="N1550" s="86"/>
      <c r="O1550" s="87"/>
    </row>
    <row r="1551" spans="2:15">
      <c r="B1551" s="83"/>
      <c r="C1551" s="84"/>
      <c r="D1551" s="85"/>
      <c r="E1551" s="85"/>
      <c r="F1551" s="86"/>
      <c r="G1551" s="86"/>
      <c r="H1551" s="87"/>
      <c r="I1551" s="86"/>
      <c r="J1551" s="87"/>
      <c r="K1551" s="86"/>
      <c r="L1551" s="86"/>
      <c r="M1551" s="87"/>
      <c r="N1551" s="86"/>
      <c r="O1551" s="87"/>
    </row>
    <row r="1552" spans="2:15">
      <c r="B1552" s="83"/>
      <c r="C1552" s="84"/>
      <c r="D1552" s="85"/>
      <c r="E1552" s="85"/>
      <c r="F1552" s="86"/>
      <c r="G1552" s="86"/>
      <c r="H1552" s="87"/>
      <c r="I1552" s="86"/>
      <c r="J1552" s="87"/>
      <c r="K1552" s="86"/>
      <c r="L1552" s="86"/>
      <c r="M1552" s="87"/>
      <c r="N1552" s="86"/>
      <c r="O1552" s="87"/>
    </row>
    <row r="1553" spans="2:15">
      <c r="B1553" s="83"/>
      <c r="C1553" s="84"/>
      <c r="D1553" s="85"/>
      <c r="E1553" s="85"/>
      <c r="F1553" s="86"/>
      <c r="G1553" s="86"/>
      <c r="H1553" s="87"/>
      <c r="I1553" s="86"/>
      <c r="J1553" s="87"/>
      <c r="K1553" s="86"/>
      <c r="L1553" s="86"/>
      <c r="M1553" s="87"/>
      <c r="N1553" s="86"/>
      <c r="O1553" s="87"/>
    </row>
    <row r="1554" spans="2:15">
      <c r="B1554" s="83"/>
      <c r="C1554" s="84"/>
      <c r="D1554" s="85"/>
      <c r="E1554" s="85"/>
      <c r="F1554" s="86"/>
      <c r="G1554" s="86"/>
      <c r="H1554" s="87"/>
      <c r="I1554" s="86"/>
      <c r="J1554" s="87"/>
      <c r="K1554" s="86"/>
      <c r="L1554" s="86"/>
      <c r="M1554" s="87"/>
      <c r="N1554" s="86"/>
      <c r="O1554" s="87"/>
    </row>
    <row r="1555" spans="2:15">
      <c r="B1555" s="83"/>
      <c r="C1555" s="84"/>
      <c r="D1555" s="85"/>
      <c r="E1555" s="85"/>
      <c r="F1555" s="86"/>
      <c r="G1555" s="86"/>
      <c r="H1555" s="87"/>
      <c r="I1555" s="86"/>
      <c r="J1555" s="87"/>
      <c r="K1555" s="86"/>
      <c r="L1555" s="86"/>
      <c r="M1555" s="87"/>
      <c r="N1555" s="86"/>
      <c r="O1555" s="87"/>
    </row>
    <row r="1556" spans="2:15">
      <c r="B1556" s="83"/>
      <c r="C1556" s="84"/>
      <c r="D1556" s="85"/>
      <c r="E1556" s="85"/>
      <c r="F1556" s="86"/>
      <c r="G1556" s="86"/>
      <c r="H1556" s="87"/>
      <c r="I1556" s="86"/>
      <c r="J1556" s="87"/>
      <c r="K1556" s="86"/>
      <c r="L1556" s="86"/>
      <c r="M1556" s="87"/>
      <c r="N1556" s="86"/>
      <c r="O1556" s="87"/>
    </row>
    <row r="1557" spans="2:15">
      <c r="B1557" s="83"/>
      <c r="C1557" s="84"/>
      <c r="D1557" s="85"/>
      <c r="E1557" s="85"/>
      <c r="F1557" s="86"/>
      <c r="G1557" s="86"/>
      <c r="H1557" s="87"/>
      <c r="I1557" s="86"/>
      <c r="J1557" s="87"/>
      <c r="K1557" s="86"/>
      <c r="L1557" s="86"/>
      <c r="M1557" s="87"/>
      <c r="N1557" s="86"/>
      <c r="O1557" s="87"/>
    </row>
    <row r="1558" spans="2:15">
      <c r="B1558" s="83"/>
      <c r="C1558" s="84"/>
      <c r="D1558" s="85"/>
      <c r="E1558" s="85"/>
      <c r="F1558" s="86"/>
      <c r="G1558" s="86"/>
      <c r="H1558" s="87"/>
      <c r="I1558" s="86"/>
      <c r="J1558" s="87"/>
      <c r="K1558" s="86"/>
      <c r="L1558" s="86"/>
      <c r="M1558" s="87"/>
      <c r="N1558" s="86"/>
      <c r="O1558" s="87"/>
    </row>
    <row r="1559" spans="2:15">
      <c r="B1559" s="83"/>
      <c r="C1559" s="84"/>
      <c r="D1559" s="85"/>
      <c r="E1559" s="85"/>
      <c r="F1559" s="86"/>
      <c r="G1559" s="86"/>
      <c r="H1559" s="87"/>
      <c r="I1559" s="86"/>
      <c r="J1559" s="87"/>
      <c r="K1559" s="86"/>
      <c r="L1559" s="86"/>
      <c r="M1559" s="87"/>
      <c r="N1559" s="86"/>
      <c r="O1559" s="87"/>
    </row>
    <row r="1560" spans="2:15">
      <c r="B1560" s="83"/>
      <c r="C1560" s="84"/>
      <c r="D1560" s="85"/>
      <c r="E1560" s="85"/>
      <c r="F1560" s="86"/>
      <c r="G1560" s="86"/>
      <c r="H1560" s="87"/>
      <c r="I1560" s="86"/>
      <c r="J1560" s="87"/>
      <c r="K1560" s="86"/>
      <c r="L1560" s="86"/>
      <c r="M1560" s="87"/>
      <c r="N1560" s="86"/>
      <c r="O1560" s="87"/>
    </row>
    <row r="1561" spans="2:15">
      <c r="B1561" s="83"/>
      <c r="C1561" s="84"/>
      <c r="D1561" s="85"/>
      <c r="E1561" s="85"/>
      <c r="F1561" s="86"/>
      <c r="G1561" s="86"/>
      <c r="H1561" s="87"/>
      <c r="I1561" s="86"/>
      <c r="J1561" s="87"/>
      <c r="K1561" s="86"/>
      <c r="L1561" s="86"/>
      <c r="M1561" s="87"/>
      <c r="N1561" s="86"/>
      <c r="O1561" s="87"/>
    </row>
    <row r="1562" spans="2:15">
      <c r="B1562" s="83"/>
      <c r="C1562" s="84"/>
      <c r="D1562" s="85"/>
      <c r="E1562" s="85"/>
      <c r="F1562" s="86"/>
      <c r="G1562" s="86"/>
      <c r="H1562" s="87"/>
      <c r="I1562" s="86"/>
      <c r="J1562" s="87"/>
      <c r="K1562" s="86"/>
      <c r="L1562" s="86"/>
      <c r="M1562" s="87"/>
      <c r="N1562" s="86"/>
      <c r="O1562" s="87"/>
    </row>
    <row r="1563" spans="2:15">
      <c r="B1563" s="83"/>
      <c r="C1563" s="84"/>
      <c r="D1563" s="85"/>
      <c r="E1563" s="85"/>
      <c r="F1563" s="86"/>
      <c r="G1563" s="86"/>
      <c r="H1563" s="87"/>
      <c r="I1563" s="86"/>
      <c r="J1563" s="87"/>
      <c r="K1563" s="86"/>
      <c r="L1563" s="86"/>
      <c r="M1563" s="87"/>
      <c r="N1563" s="86"/>
      <c r="O1563" s="87"/>
    </row>
    <row r="1564" spans="2:15">
      <c r="B1564" s="83"/>
      <c r="C1564" s="84"/>
      <c r="D1564" s="85"/>
      <c r="E1564" s="85"/>
      <c r="F1564" s="86"/>
      <c r="G1564" s="86"/>
      <c r="H1564" s="87"/>
      <c r="I1564" s="86"/>
      <c r="J1564" s="87"/>
      <c r="K1564" s="86"/>
      <c r="L1564" s="86"/>
      <c r="M1564" s="87"/>
      <c r="N1564" s="86"/>
      <c r="O1564" s="87"/>
    </row>
    <row r="1565" spans="2:15">
      <c r="B1565" s="83"/>
      <c r="C1565" s="84"/>
      <c r="D1565" s="85"/>
      <c r="E1565" s="85"/>
      <c r="F1565" s="86"/>
      <c r="G1565" s="86"/>
      <c r="H1565" s="87"/>
      <c r="I1565" s="86"/>
      <c r="J1565" s="87"/>
      <c r="K1565" s="86"/>
      <c r="L1565" s="86"/>
      <c r="M1565" s="87"/>
      <c r="N1565" s="86"/>
      <c r="O1565" s="87"/>
    </row>
    <row r="1566" spans="2:15">
      <c r="B1566" s="83"/>
      <c r="C1566" s="84"/>
      <c r="D1566" s="85"/>
      <c r="E1566" s="85"/>
      <c r="F1566" s="86"/>
      <c r="G1566" s="86"/>
      <c r="H1566" s="87"/>
      <c r="I1566" s="86"/>
      <c r="J1566" s="87"/>
      <c r="K1566" s="86"/>
      <c r="L1566" s="86"/>
      <c r="M1566" s="87"/>
      <c r="N1566" s="86"/>
      <c r="O1566" s="87"/>
    </row>
    <row r="1567" spans="2:15">
      <c r="B1567" s="83"/>
      <c r="C1567" s="84"/>
      <c r="D1567" s="85"/>
      <c r="E1567" s="85"/>
      <c r="F1567" s="86"/>
      <c r="G1567" s="86"/>
      <c r="H1567" s="87"/>
      <c r="I1567" s="86"/>
      <c r="J1567" s="87"/>
      <c r="K1567" s="86"/>
      <c r="L1567" s="86"/>
      <c r="M1567" s="87"/>
      <c r="N1567" s="86"/>
      <c r="O1567" s="87"/>
    </row>
    <row r="1568" spans="2:15">
      <c r="B1568" s="83"/>
      <c r="C1568" s="84"/>
      <c r="D1568" s="85"/>
      <c r="E1568" s="85"/>
      <c r="F1568" s="86"/>
      <c r="G1568" s="86"/>
      <c r="H1568" s="87"/>
      <c r="I1568" s="86"/>
      <c r="J1568" s="87"/>
      <c r="K1568" s="86"/>
      <c r="L1568" s="86"/>
      <c r="M1568" s="87"/>
      <c r="N1568" s="86"/>
      <c r="O1568" s="87"/>
    </row>
    <row r="1569" spans="2:15">
      <c r="B1569" s="83"/>
      <c r="C1569" s="84"/>
      <c r="D1569" s="85"/>
      <c r="E1569" s="85"/>
      <c r="F1569" s="86"/>
      <c r="G1569" s="86"/>
      <c r="H1569" s="87"/>
      <c r="I1569" s="86"/>
      <c r="J1569" s="87"/>
      <c r="K1569" s="86"/>
      <c r="L1569" s="86"/>
      <c r="M1569" s="87"/>
      <c r="N1569" s="86"/>
      <c r="O1569" s="87"/>
    </row>
    <row r="1570" spans="2:15">
      <c r="B1570" s="83"/>
      <c r="C1570" s="84"/>
      <c r="D1570" s="85"/>
      <c r="E1570" s="85"/>
      <c r="F1570" s="86"/>
      <c r="G1570" s="86"/>
      <c r="H1570" s="87"/>
      <c r="I1570" s="86"/>
      <c r="J1570" s="87"/>
      <c r="K1570" s="86"/>
      <c r="L1570" s="86"/>
      <c r="M1570" s="87"/>
      <c r="N1570" s="86"/>
      <c r="O1570" s="87"/>
    </row>
    <row r="1571" spans="2:15">
      <c r="B1571" s="83"/>
      <c r="C1571" s="84"/>
      <c r="D1571" s="85"/>
      <c r="E1571" s="85"/>
      <c r="F1571" s="86"/>
      <c r="G1571" s="86"/>
      <c r="H1571" s="87"/>
      <c r="I1571" s="86"/>
      <c r="J1571" s="87"/>
      <c r="K1571" s="86"/>
      <c r="L1571" s="86"/>
      <c r="M1571" s="87"/>
      <c r="N1571" s="86"/>
      <c r="O1571" s="87"/>
    </row>
    <row r="1572" spans="2:15">
      <c r="B1572" s="83"/>
      <c r="C1572" s="84"/>
      <c r="D1572" s="85"/>
      <c r="E1572" s="85"/>
      <c r="F1572" s="86"/>
      <c r="G1572" s="86"/>
      <c r="H1572" s="87"/>
      <c r="I1572" s="86"/>
      <c r="J1572" s="87"/>
      <c r="K1572" s="86"/>
      <c r="L1572" s="86"/>
      <c r="M1572" s="87"/>
      <c r="N1572" s="86"/>
      <c r="O1572" s="87"/>
    </row>
    <row r="1573" spans="2:15">
      <c r="B1573" s="83"/>
      <c r="C1573" s="84"/>
      <c r="D1573" s="85"/>
      <c r="E1573" s="85"/>
      <c r="F1573" s="86"/>
      <c r="G1573" s="86"/>
      <c r="H1573" s="87"/>
      <c r="I1573" s="86"/>
      <c r="J1573" s="87"/>
      <c r="K1573" s="86"/>
      <c r="L1573" s="86"/>
      <c r="M1573" s="87"/>
      <c r="N1573" s="86"/>
      <c r="O1573" s="87"/>
    </row>
    <row r="1574" spans="2:15">
      <c r="B1574" s="83"/>
      <c r="C1574" s="84"/>
      <c r="D1574" s="85"/>
      <c r="E1574" s="85"/>
      <c r="F1574" s="86"/>
      <c r="G1574" s="86"/>
      <c r="H1574" s="87"/>
      <c r="I1574" s="86"/>
      <c r="J1574" s="87"/>
      <c r="K1574" s="86"/>
      <c r="L1574" s="86"/>
      <c r="M1574" s="87"/>
      <c r="N1574" s="86"/>
      <c r="O1574" s="87"/>
    </row>
    <row r="1575" spans="2:15">
      <c r="B1575" s="83"/>
      <c r="C1575" s="84"/>
      <c r="D1575" s="85"/>
      <c r="E1575" s="85"/>
      <c r="F1575" s="86"/>
      <c r="G1575" s="86"/>
      <c r="H1575" s="87"/>
      <c r="I1575" s="86"/>
      <c r="J1575" s="87"/>
      <c r="K1575" s="86"/>
      <c r="L1575" s="86"/>
      <c r="M1575" s="87"/>
      <c r="N1575" s="86"/>
      <c r="O1575" s="87"/>
    </row>
    <row r="1576" spans="2:15">
      <c r="B1576" s="83"/>
      <c r="C1576" s="84"/>
      <c r="D1576" s="85"/>
      <c r="E1576" s="85"/>
      <c r="F1576" s="86"/>
      <c r="G1576" s="86"/>
      <c r="H1576" s="87"/>
      <c r="I1576" s="86"/>
      <c r="J1576" s="87"/>
      <c r="K1576" s="86"/>
      <c r="L1576" s="86"/>
      <c r="M1576" s="87"/>
      <c r="N1576" s="86"/>
      <c r="O1576" s="87"/>
    </row>
    <row r="1577" spans="2:15">
      <c r="B1577" s="83"/>
      <c r="C1577" s="84"/>
      <c r="D1577" s="85"/>
      <c r="E1577" s="85"/>
      <c r="F1577" s="86"/>
      <c r="G1577" s="86"/>
      <c r="H1577" s="87"/>
      <c r="I1577" s="86"/>
      <c r="J1577" s="87"/>
      <c r="K1577" s="86"/>
      <c r="L1577" s="86"/>
      <c r="M1577" s="87"/>
      <c r="N1577" s="86"/>
      <c r="O1577" s="87"/>
    </row>
    <row r="1578" spans="2:15">
      <c r="B1578" s="83"/>
      <c r="C1578" s="84"/>
      <c r="D1578" s="85"/>
      <c r="E1578" s="85"/>
      <c r="F1578" s="86"/>
      <c r="G1578" s="86"/>
      <c r="H1578" s="87"/>
      <c r="I1578" s="86"/>
      <c r="J1578" s="87"/>
      <c r="K1578" s="86"/>
      <c r="L1578" s="86"/>
      <c r="M1578" s="87"/>
      <c r="N1578" s="86"/>
      <c r="O1578" s="87"/>
    </row>
    <row r="1579" spans="2:15">
      <c r="B1579" s="83"/>
      <c r="C1579" s="84"/>
      <c r="D1579" s="85"/>
      <c r="E1579" s="85"/>
      <c r="F1579" s="86"/>
      <c r="G1579" s="86"/>
      <c r="H1579" s="87"/>
      <c r="I1579" s="86"/>
      <c r="J1579" s="87"/>
      <c r="K1579" s="86"/>
      <c r="L1579" s="86"/>
      <c r="M1579" s="87"/>
      <c r="N1579" s="86"/>
      <c r="O1579" s="87"/>
    </row>
    <row r="1580" spans="2:15">
      <c r="B1580" s="83"/>
      <c r="C1580" s="84"/>
      <c r="D1580" s="85"/>
      <c r="E1580" s="85"/>
      <c r="F1580" s="86"/>
      <c r="G1580" s="86"/>
      <c r="H1580" s="87"/>
      <c r="I1580" s="86"/>
      <c r="J1580" s="87"/>
      <c r="K1580" s="86"/>
      <c r="L1580" s="86"/>
      <c r="M1580" s="87"/>
      <c r="N1580" s="86"/>
      <c r="O1580" s="87"/>
    </row>
    <row r="1581" spans="2:15">
      <c r="B1581" s="83"/>
      <c r="C1581" s="84"/>
      <c r="D1581" s="85"/>
      <c r="E1581" s="85"/>
      <c r="F1581" s="86"/>
      <c r="G1581" s="86"/>
      <c r="H1581" s="87"/>
      <c r="I1581" s="86"/>
      <c r="J1581" s="87"/>
      <c r="K1581" s="86"/>
      <c r="L1581" s="86"/>
      <c r="M1581" s="87"/>
      <c r="N1581" s="86"/>
      <c r="O1581" s="87"/>
    </row>
    <row r="1582" spans="2:15">
      <c r="B1582" s="83"/>
      <c r="C1582" s="84"/>
      <c r="D1582" s="85"/>
      <c r="E1582" s="85"/>
      <c r="F1582" s="86"/>
      <c r="G1582" s="86"/>
      <c r="H1582" s="87"/>
      <c r="I1582" s="86"/>
      <c r="J1582" s="87"/>
      <c r="K1582" s="86"/>
      <c r="L1582" s="86"/>
      <c r="M1582" s="87"/>
      <c r="N1582" s="86"/>
      <c r="O1582" s="87"/>
    </row>
    <row r="1583" spans="2:15">
      <c r="B1583" s="83"/>
      <c r="C1583" s="84"/>
      <c r="D1583" s="85"/>
      <c r="E1583" s="85"/>
      <c r="F1583" s="86"/>
      <c r="G1583" s="86"/>
      <c r="H1583" s="87"/>
      <c r="I1583" s="86"/>
      <c r="J1583" s="87"/>
      <c r="K1583" s="86"/>
      <c r="L1583" s="86"/>
      <c r="M1583" s="87"/>
      <c r="N1583" s="86"/>
      <c r="O1583" s="87"/>
    </row>
    <row r="1584" spans="2:15">
      <c r="B1584" s="83"/>
      <c r="C1584" s="84"/>
      <c r="D1584" s="85"/>
      <c r="E1584" s="85"/>
      <c r="F1584" s="86"/>
      <c r="G1584" s="86"/>
      <c r="H1584" s="87"/>
      <c r="I1584" s="86"/>
      <c r="J1584" s="87"/>
      <c r="K1584" s="86"/>
      <c r="L1584" s="86"/>
      <c r="M1584" s="87"/>
      <c r="N1584" s="86"/>
      <c r="O1584" s="87"/>
    </row>
    <row r="1585" spans="2:15">
      <c r="B1585" s="83"/>
      <c r="C1585" s="84"/>
      <c r="D1585" s="85"/>
      <c r="E1585" s="85"/>
      <c r="F1585" s="86"/>
      <c r="G1585" s="86"/>
      <c r="H1585" s="87"/>
      <c r="I1585" s="86"/>
      <c r="J1585" s="87"/>
      <c r="K1585" s="86"/>
      <c r="L1585" s="86"/>
      <c r="M1585" s="87"/>
      <c r="N1585" s="86"/>
      <c r="O1585" s="87"/>
    </row>
    <row r="1586" spans="2:15">
      <c r="B1586" s="83"/>
      <c r="C1586" s="84"/>
      <c r="D1586" s="85"/>
      <c r="E1586" s="85"/>
      <c r="F1586" s="86"/>
      <c r="G1586" s="86"/>
      <c r="H1586" s="87"/>
      <c r="I1586" s="86"/>
      <c r="J1586" s="87"/>
      <c r="K1586" s="86"/>
      <c r="L1586" s="86"/>
      <c r="M1586" s="87"/>
      <c r="N1586" s="86"/>
      <c r="O1586" s="87"/>
    </row>
    <row r="1587" spans="2:15">
      <c r="B1587" s="83"/>
      <c r="C1587" s="84"/>
      <c r="D1587" s="85"/>
      <c r="E1587" s="85"/>
      <c r="F1587" s="86"/>
      <c r="G1587" s="86"/>
      <c r="H1587" s="87"/>
      <c r="I1587" s="86"/>
      <c r="J1587" s="87"/>
      <c r="K1587" s="86"/>
      <c r="L1587" s="86"/>
      <c r="M1587" s="87"/>
      <c r="N1587" s="86"/>
      <c r="O1587" s="87"/>
    </row>
    <row r="1588" spans="2:15">
      <c r="B1588" s="83"/>
      <c r="C1588" s="84"/>
      <c r="D1588" s="85"/>
      <c r="E1588" s="85"/>
      <c r="F1588" s="86"/>
      <c r="G1588" s="86"/>
      <c r="H1588" s="87"/>
      <c r="I1588" s="86"/>
      <c r="J1588" s="87"/>
      <c r="K1588" s="86"/>
      <c r="L1588" s="86"/>
      <c r="M1588" s="87"/>
      <c r="N1588" s="86"/>
      <c r="O1588" s="87"/>
    </row>
    <row r="1589" spans="2:15">
      <c r="B1589" s="83"/>
      <c r="C1589" s="84"/>
      <c r="D1589" s="85"/>
      <c r="E1589" s="85"/>
      <c r="F1589" s="86"/>
      <c r="G1589" s="86"/>
      <c r="H1589" s="87"/>
      <c r="I1589" s="86"/>
      <c r="J1589" s="87"/>
      <c r="K1589" s="86"/>
      <c r="L1589" s="86"/>
      <c r="M1589" s="87"/>
      <c r="N1589" s="86"/>
      <c r="O1589" s="87"/>
    </row>
    <row r="1590" spans="2:15">
      <c r="B1590" s="83"/>
      <c r="C1590" s="84"/>
      <c r="D1590" s="85"/>
      <c r="E1590" s="85"/>
      <c r="F1590" s="86"/>
      <c r="G1590" s="86"/>
      <c r="H1590" s="87"/>
      <c r="I1590" s="86"/>
      <c r="J1590" s="87"/>
      <c r="K1590" s="86"/>
      <c r="L1590" s="86"/>
      <c r="M1590" s="87"/>
      <c r="N1590" s="86"/>
      <c r="O1590" s="87"/>
    </row>
    <row r="1591" spans="2:15">
      <c r="B1591" s="83"/>
      <c r="C1591" s="84"/>
      <c r="D1591" s="85"/>
      <c r="E1591" s="85"/>
      <c r="F1591" s="86"/>
      <c r="G1591" s="86"/>
      <c r="H1591" s="87"/>
      <c r="I1591" s="86"/>
      <c r="J1591" s="87"/>
      <c r="K1591" s="86"/>
      <c r="L1591" s="86"/>
      <c r="M1591" s="87"/>
      <c r="N1591" s="86"/>
      <c r="O1591" s="87"/>
    </row>
    <row r="1592" spans="2:15">
      <c r="B1592" s="83"/>
      <c r="C1592" s="84"/>
      <c r="D1592" s="85"/>
      <c r="E1592" s="85"/>
      <c r="F1592" s="86"/>
      <c r="G1592" s="86"/>
      <c r="H1592" s="87"/>
      <c r="I1592" s="86"/>
      <c r="J1592" s="87"/>
      <c r="K1592" s="86"/>
      <c r="L1592" s="86"/>
      <c r="M1592" s="87"/>
      <c r="N1592" s="86"/>
      <c r="O1592" s="87"/>
    </row>
    <row r="1593" spans="2:15">
      <c r="B1593" s="83"/>
      <c r="C1593" s="84"/>
      <c r="D1593" s="85"/>
      <c r="E1593" s="85"/>
      <c r="F1593" s="86"/>
      <c r="G1593" s="86"/>
      <c r="H1593" s="87"/>
      <c r="I1593" s="86"/>
      <c r="J1593" s="87"/>
      <c r="K1593" s="86"/>
      <c r="L1593" s="86"/>
      <c r="M1593" s="87"/>
      <c r="N1593" s="86"/>
      <c r="O1593" s="87"/>
    </row>
    <row r="1594" spans="2:15">
      <c r="B1594" s="83"/>
      <c r="C1594" s="84"/>
      <c r="D1594" s="85"/>
      <c r="E1594" s="85"/>
      <c r="F1594" s="86"/>
      <c r="G1594" s="86"/>
      <c r="H1594" s="87"/>
      <c r="I1594" s="86"/>
      <c r="J1594" s="87"/>
      <c r="K1594" s="86"/>
      <c r="L1594" s="86"/>
      <c r="M1594" s="87"/>
      <c r="N1594" s="86"/>
      <c r="O1594" s="87"/>
    </row>
    <row r="1595" spans="2:15">
      <c r="B1595" s="83"/>
      <c r="C1595" s="84"/>
      <c r="D1595" s="85"/>
      <c r="E1595" s="85"/>
      <c r="F1595" s="86"/>
      <c r="G1595" s="86"/>
      <c r="H1595" s="87"/>
      <c r="I1595" s="86"/>
      <c r="J1595" s="87"/>
      <c r="K1595" s="86"/>
      <c r="L1595" s="86"/>
      <c r="M1595" s="87"/>
      <c r="N1595" s="86"/>
      <c r="O1595" s="87"/>
    </row>
    <row r="1596" spans="2:15">
      <c r="B1596" s="83"/>
      <c r="C1596" s="84"/>
      <c r="D1596" s="85"/>
      <c r="E1596" s="85"/>
      <c r="F1596" s="86"/>
      <c r="G1596" s="86"/>
      <c r="H1596" s="87"/>
      <c r="I1596" s="86"/>
      <c r="J1596" s="87"/>
      <c r="K1596" s="86"/>
      <c r="L1596" s="86"/>
      <c r="M1596" s="87"/>
      <c r="N1596" s="86"/>
      <c r="O1596" s="87"/>
    </row>
    <row r="1597" spans="2:15">
      <c r="B1597" s="83"/>
      <c r="C1597" s="84"/>
      <c r="D1597" s="85"/>
      <c r="E1597" s="85"/>
      <c r="F1597" s="86"/>
      <c r="G1597" s="86"/>
      <c r="H1597" s="87"/>
      <c r="I1597" s="86"/>
      <c r="J1597" s="87"/>
      <c r="K1597" s="86"/>
      <c r="L1597" s="86"/>
      <c r="M1597" s="87"/>
      <c r="N1597" s="86"/>
      <c r="O1597" s="87"/>
    </row>
    <row r="1598" spans="2:15">
      <c r="B1598" s="83"/>
      <c r="C1598" s="84"/>
      <c r="D1598" s="85"/>
      <c r="E1598" s="85"/>
      <c r="F1598" s="86"/>
      <c r="G1598" s="86"/>
      <c r="H1598" s="87"/>
      <c r="I1598" s="86"/>
      <c r="J1598" s="87"/>
      <c r="K1598" s="86"/>
      <c r="L1598" s="86"/>
      <c r="M1598" s="87"/>
      <c r="N1598" s="86"/>
      <c r="O1598" s="87"/>
    </row>
    <row r="1599" spans="2:15">
      <c r="B1599" s="83"/>
      <c r="C1599" s="84"/>
      <c r="D1599" s="85"/>
      <c r="E1599" s="85"/>
      <c r="F1599" s="86"/>
      <c r="G1599" s="86"/>
      <c r="H1599" s="87"/>
      <c r="I1599" s="86"/>
      <c r="J1599" s="87"/>
      <c r="K1599" s="86"/>
      <c r="L1599" s="86"/>
      <c r="M1599" s="87"/>
      <c r="N1599" s="86"/>
      <c r="O1599" s="87"/>
    </row>
    <row r="1600" spans="2:15">
      <c r="B1600" s="83"/>
      <c r="C1600" s="84"/>
      <c r="D1600" s="85"/>
      <c r="E1600" s="85"/>
      <c r="F1600" s="86"/>
      <c r="G1600" s="86"/>
      <c r="H1600" s="87"/>
      <c r="I1600" s="86"/>
      <c r="J1600" s="87"/>
      <c r="K1600" s="86"/>
      <c r="L1600" s="86"/>
      <c r="M1600" s="87"/>
      <c r="N1600" s="86"/>
      <c r="O1600" s="87"/>
    </row>
    <row r="1601" spans="2:15">
      <c r="B1601" s="83"/>
      <c r="C1601" s="84"/>
      <c r="D1601" s="85"/>
      <c r="E1601" s="85"/>
      <c r="F1601" s="86"/>
      <c r="G1601" s="86"/>
      <c r="H1601" s="87"/>
      <c r="I1601" s="86"/>
      <c r="J1601" s="87"/>
      <c r="K1601" s="86"/>
      <c r="L1601" s="86"/>
      <c r="M1601" s="87"/>
      <c r="N1601" s="86"/>
      <c r="O1601" s="87"/>
    </row>
    <row r="1602" spans="2:15">
      <c r="B1602" s="83"/>
      <c r="C1602" s="84"/>
      <c r="D1602" s="85"/>
      <c r="E1602" s="85"/>
      <c r="F1602" s="86"/>
      <c r="G1602" s="86"/>
      <c r="H1602" s="87"/>
      <c r="I1602" s="86"/>
      <c r="J1602" s="87"/>
      <c r="K1602" s="86"/>
      <c r="L1602" s="86"/>
      <c r="M1602" s="87"/>
      <c r="N1602" s="86"/>
      <c r="O1602" s="87"/>
    </row>
    <row r="1603" spans="2:15">
      <c r="B1603" s="83"/>
      <c r="C1603" s="84"/>
      <c r="D1603" s="85"/>
      <c r="E1603" s="85"/>
      <c r="F1603" s="86"/>
      <c r="G1603" s="86"/>
      <c r="H1603" s="87"/>
      <c r="I1603" s="86"/>
      <c r="J1603" s="87"/>
      <c r="K1603" s="86"/>
      <c r="L1603" s="86"/>
      <c r="M1603" s="87"/>
      <c r="N1603" s="86"/>
      <c r="O1603" s="87"/>
    </row>
    <row r="1604" spans="2:15">
      <c r="B1604" s="83"/>
      <c r="C1604" s="84"/>
      <c r="D1604" s="85"/>
      <c r="E1604" s="85"/>
      <c r="F1604" s="86"/>
      <c r="G1604" s="86"/>
      <c r="H1604" s="87"/>
      <c r="I1604" s="86"/>
      <c r="J1604" s="87"/>
      <c r="K1604" s="86"/>
      <c r="L1604" s="86"/>
      <c r="M1604" s="87"/>
      <c r="N1604" s="86"/>
      <c r="O1604" s="87"/>
    </row>
    <row r="1605" spans="2:15">
      <c r="B1605" s="83"/>
      <c r="C1605" s="84"/>
      <c r="D1605" s="85"/>
      <c r="E1605" s="85"/>
      <c r="F1605" s="86"/>
      <c r="G1605" s="86"/>
      <c r="H1605" s="87"/>
      <c r="I1605" s="86"/>
      <c r="J1605" s="87"/>
      <c r="K1605" s="86"/>
      <c r="L1605" s="86"/>
      <c r="M1605" s="87"/>
      <c r="N1605" s="86"/>
      <c r="O1605" s="87"/>
    </row>
    <row r="1606" spans="2:15">
      <c r="B1606" s="83"/>
      <c r="C1606" s="84"/>
      <c r="D1606" s="85"/>
      <c r="E1606" s="85"/>
      <c r="F1606" s="86"/>
      <c r="G1606" s="86"/>
      <c r="H1606" s="87"/>
      <c r="I1606" s="86"/>
      <c r="J1606" s="87"/>
      <c r="K1606" s="86"/>
      <c r="L1606" s="86"/>
      <c r="M1606" s="87"/>
      <c r="N1606" s="86"/>
      <c r="O1606" s="87"/>
    </row>
    <row r="1607" spans="2:15">
      <c r="B1607" s="83"/>
      <c r="C1607" s="84"/>
      <c r="D1607" s="85"/>
      <c r="E1607" s="85"/>
      <c r="F1607" s="86"/>
      <c r="G1607" s="86"/>
      <c r="H1607" s="87"/>
      <c r="I1607" s="86"/>
      <c r="J1607" s="87"/>
      <c r="K1607" s="86"/>
      <c r="L1607" s="86"/>
      <c r="M1607" s="87"/>
      <c r="N1607" s="86"/>
      <c r="O1607" s="87"/>
    </row>
    <row r="1608" spans="2:15">
      <c r="B1608" s="83"/>
      <c r="C1608" s="84"/>
      <c r="D1608" s="85"/>
      <c r="E1608" s="85"/>
      <c r="F1608" s="86"/>
      <c r="G1608" s="86"/>
      <c r="H1608" s="87"/>
      <c r="I1608" s="86"/>
      <c r="J1608" s="87"/>
      <c r="K1608" s="86"/>
      <c r="L1608" s="86"/>
      <c r="M1608" s="87"/>
      <c r="N1608" s="86"/>
      <c r="O1608" s="87"/>
    </row>
    <row r="1609" spans="2:15">
      <c r="B1609" s="83"/>
      <c r="C1609" s="84"/>
      <c r="D1609" s="85"/>
      <c r="E1609" s="85"/>
      <c r="F1609" s="86"/>
      <c r="G1609" s="86"/>
      <c r="H1609" s="87"/>
      <c r="I1609" s="86"/>
      <c r="J1609" s="87"/>
      <c r="K1609" s="86"/>
      <c r="L1609" s="86"/>
      <c r="M1609" s="87"/>
      <c r="N1609" s="86"/>
      <c r="O1609" s="87"/>
    </row>
    <row r="1610" spans="2:15">
      <c r="B1610" s="83"/>
      <c r="C1610" s="84"/>
      <c r="D1610" s="85"/>
      <c r="E1610" s="85"/>
      <c r="F1610" s="86"/>
      <c r="G1610" s="86"/>
      <c r="H1610" s="87"/>
      <c r="I1610" s="86"/>
      <c r="J1610" s="87"/>
      <c r="K1610" s="86"/>
      <c r="L1610" s="86"/>
      <c r="M1610" s="87"/>
      <c r="N1610" s="86"/>
      <c r="O1610" s="87"/>
    </row>
    <row r="1611" spans="2:15">
      <c r="B1611" s="83"/>
      <c r="C1611" s="84"/>
      <c r="D1611" s="85"/>
      <c r="E1611" s="85"/>
      <c r="F1611" s="86"/>
      <c r="G1611" s="86"/>
      <c r="H1611" s="87"/>
      <c r="I1611" s="86"/>
      <c r="J1611" s="87"/>
      <c r="K1611" s="86"/>
      <c r="L1611" s="86"/>
      <c r="M1611" s="87"/>
      <c r="N1611" s="86"/>
      <c r="O1611" s="87"/>
    </row>
    <row r="1612" spans="2:15">
      <c r="B1612" s="83"/>
      <c r="C1612" s="84"/>
      <c r="D1612" s="85"/>
      <c r="E1612" s="85"/>
      <c r="F1612" s="86"/>
      <c r="G1612" s="86"/>
      <c r="H1612" s="87"/>
      <c r="I1612" s="86"/>
      <c r="J1612" s="87"/>
      <c r="K1612" s="86"/>
      <c r="L1612" s="86"/>
      <c r="M1612" s="87"/>
      <c r="N1612" s="86"/>
      <c r="O1612" s="87"/>
    </row>
    <row r="1613" spans="2:15">
      <c r="B1613" s="83"/>
      <c r="C1613" s="84"/>
      <c r="D1613" s="85"/>
      <c r="E1613" s="85"/>
      <c r="F1613" s="86"/>
      <c r="G1613" s="86"/>
      <c r="H1613" s="87"/>
      <c r="I1613" s="86"/>
      <c r="J1613" s="87"/>
      <c r="K1613" s="86"/>
      <c r="L1613" s="86"/>
      <c r="M1613" s="87"/>
      <c r="N1613" s="86"/>
      <c r="O1613" s="87"/>
    </row>
    <row r="1614" spans="2:15">
      <c r="B1614" s="83"/>
      <c r="C1614" s="84"/>
      <c r="D1614" s="85"/>
      <c r="E1614" s="85"/>
      <c r="F1614" s="86"/>
      <c r="G1614" s="86"/>
      <c r="H1614" s="87"/>
      <c r="I1614" s="86"/>
      <c r="J1614" s="87"/>
      <c r="K1614" s="86"/>
      <c r="L1614" s="86"/>
      <c r="M1614" s="87"/>
      <c r="N1614" s="86"/>
      <c r="O1614" s="87"/>
    </row>
    <row r="1615" spans="2:15">
      <c r="B1615" s="83"/>
      <c r="C1615" s="84"/>
      <c r="D1615" s="85"/>
      <c r="E1615" s="85"/>
      <c r="F1615" s="86"/>
      <c r="G1615" s="86"/>
      <c r="H1615" s="87"/>
      <c r="I1615" s="86"/>
      <c r="J1615" s="87"/>
      <c r="K1615" s="86"/>
      <c r="L1615" s="86"/>
      <c r="M1615" s="87"/>
      <c r="N1615" s="86"/>
      <c r="O1615" s="87"/>
    </row>
    <row r="1616" spans="2:15">
      <c r="B1616" s="83"/>
      <c r="C1616" s="84"/>
      <c r="D1616" s="85"/>
      <c r="E1616" s="85"/>
      <c r="F1616" s="86"/>
      <c r="G1616" s="86"/>
      <c r="H1616" s="87"/>
      <c r="I1616" s="86"/>
      <c r="J1616" s="87"/>
      <c r="K1616" s="86"/>
      <c r="L1616" s="86"/>
      <c r="M1616" s="87"/>
      <c r="N1616" s="86"/>
      <c r="O1616" s="87"/>
    </row>
    <row r="1617" spans="2:15">
      <c r="B1617" s="83"/>
      <c r="C1617" s="84"/>
      <c r="D1617" s="85"/>
      <c r="E1617" s="85"/>
      <c r="F1617" s="86"/>
      <c r="G1617" s="86"/>
      <c r="H1617" s="87"/>
      <c r="I1617" s="86"/>
      <c r="J1617" s="87"/>
      <c r="K1617" s="86"/>
      <c r="L1617" s="86"/>
      <c r="M1617" s="87"/>
      <c r="N1617" s="86"/>
      <c r="O1617" s="87"/>
    </row>
    <row r="1618" spans="2:15">
      <c r="B1618" s="83"/>
      <c r="C1618" s="84"/>
      <c r="D1618" s="85"/>
      <c r="E1618" s="85"/>
      <c r="F1618" s="86"/>
      <c r="G1618" s="86"/>
      <c r="H1618" s="87"/>
      <c r="I1618" s="86"/>
      <c r="J1618" s="87"/>
      <c r="K1618" s="86"/>
      <c r="L1618" s="86"/>
      <c r="M1618" s="87"/>
      <c r="N1618" s="86"/>
      <c r="O1618" s="87"/>
    </row>
    <row r="1619" spans="2:15">
      <c r="B1619" s="83"/>
      <c r="C1619" s="84"/>
      <c r="D1619" s="85"/>
      <c r="E1619" s="85"/>
      <c r="F1619" s="86"/>
      <c r="G1619" s="86"/>
      <c r="H1619" s="87"/>
      <c r="I1619" s="86"/>
      <c r="J1619" s="87"/>
      <c r="K1619" s="86"/>
      <c r="L1619" s="86"/>
      <c r="M1619" s="87"/>
      <c r="N1619" s="86"/>
      <c r="O1619" s="87"/>
    </row>
    <row r="1620" spans="2:15">
      <c r="B1620" s="83"/>
      <c r="C1620" s="84"/>
      <c r="D1620" s="85"/>
      <c r="E1620" s="85"/>
      <c r="F1620" s="86"/>
      <c r="G1620" s="86"/>
      <c r="H1620" s="87"/>
      <c r="I1620" s="86"/>
      <c r="J1620" s="87"/>
      <c r="K1620" s="86"/>
      <c r="L1620" s="86"/>
      <c r="M1620" s="87"/>
      <c r="N1620" s="86"/>
      <c r="O1620" s="87"/>
    </row>
    <row r="1621" spans="2:15">
      <c r="B1621" s="83"/>
      <c r="C1621" s="84"/>
      <c r="D1621" s="85"/>
      <c r="E1621" s="85"/>
      <c r="F1621" s="86"/>
      <c r="G1621" s="86"/>
      <c r="H1621" s="87"/>
      <c r="I1621" s="86"/>
      <c r="J1621" s="87"/>
      <c r="K1621" s="86"/>
      <c r="L1621" s="86"/>
      <c r="M1621" s="87"/>
      <c r="N1621" s="86"/>
      <c r="O1621" s="87"/>
    </row>
    <row r="1622" spans="2:15">
      <c r="B1622" s="83"/>
      <c r="C1622" s="84"/>
      <c r="D1622" s="85"/>
      <c r="E1622" s="85"/>
      <c r="F1622" s="86"/>
      <c r="G1622" s="86"/>
      <c r="H1622" s="87"/>
      <c r="I1622" s="86"/>
      <c r="J1622" s="87"/>
      <c r="K1622" s="86"/>
      <c r="L1622" s="86"/>
      <c r="M1622" s="87"/>
      <c r="N1622" s="86"/>
      <c r="O1622" s="87"/>
    </row>
    <row r="1623" spans="2:15">
      <c r="B1623" s="83"/>
      <c r="C1623" s="84"/>
      <c r="D1623" s="85"/>
      <c r="E1623" s="85"/>
      <c r="F1623" s="86"/>
      <c r="G1623" s="86"/>
      <c r="H1623" s="87"/>
      <c r="I1623" s="86"/>
      <c r="J1623" s="87"/>
      <c r="K1623" s="86"/>
      <c r="L1623" s="86"/>
      <c r="M1623" s="87"/>
      <c r="N1623" s="86"/>
      <c r="O1623" s="87"/>
    </row>
    <row r="1624" spans="2:15">
      <c r="B1624" s="83"/>
      <c r="C1624" s="84"/>
      <c r="D1624" s="85"/>
      <c r="E1624" s="85"/>
      <c r="F1624" s="86"/>
      <c r="G1624" s="86"/>
      <c r="H1624" s="87"/>
      <c r="I1624" s="86"/>
      <c r="J1624" s="87"/>
      <c r="K1624" s="86"/>
      <c r="L1624" s="86"/>
      <c r="M1624" s="87"/>
      <c r="N1624" s="86"/>
      <c r="O1624" s="87"/>
    </row>
    <row r="1625" spans="2:15">
      <c r="B1625" s="83"/>
      <c r="C1625" s="84"/>
      <c r="D1625" s="85"/>
      <c r="E1625" s="85"/>
      <c r="F1625" s="86"/>
      <c r="G1625" s="86"/>
      <c r="H1625" s="87"/>
      <c r="I1625" s="86"/>
      <c r="J1625" s="87"/>
      <c r="K1625" s="86"/>
      <c r="L1625" s="86"/>
      <c r="M1625" s="87"/>
      <c r="N1625" s="86"/>
      <c r="O1625" s="87"/>
    </row>
    <row r="1626" spans="2:15">
      <c r="B1626" s="83"/>
      <c r="C1626" s="84"/>
      <c r="D1626" s="85"/>
      <c r="E1626" s="85"/>
      <c r="F1626" s="86"/>
      <c r="G1626" s="86"/>
      <c r="H1626" s="87"/>
      <c r="I1626" s="86"/>
      <c r="J1626" s="87"/>
      <c r="K1626" s="86"/>
      <c r="L1626" s="86"/>
      <c r="M1626" s="87"/>
      <c r="N1626" s="86"/>
      <c r="O1626" s="87"/>
    </row>
    <row r="1627" spans="2:15">
      <c r="B1627" s="83"/>
      <c r="C1627" s="84"/>
      <c r="D1627" s="85"/>
      <c r="E1627" s="85"/>
      <c r="F1627" s="86"/>
      <c r="G1627" s="86"/>
      <c r="H1627" s="87"/>
      <c r="I1627" s="86"/>
      <c r="J1627" s="87"/>
      <c r="K1627" s="86"/>
      <c r="L1627" s="86"/>
      <c r="M1627" s="87"/>
      <c r="N1627" s="86"/>
      <c r="O1627" s="87"/>
    </row>
    <row r="1628" spans="2:15">
      <c r="B1628" s="83"/>
      <c r="C1628" s="84"/>
      <c r="D1628" s="85"/>
      <c r="E1628" s="85"/>
      <c r="F1628" s="86"/>
      <c r="G1628" s="86"/>
      <c r="H1628" s="87"/>
      <c r="I1628" s="86"/>
      <c r="J1628" s="87"/>
      <c r="K1628" s="86"/>
      <c r="L1628" s="86"/>
      <c r="M1628" s="87"/>
      <c r="N1628" s="86"/>
      <c r="O1628" s="87"/>
    </row>
    <row r="1629" spans="2:15">
      <c r="B1629" s="83"/>
      <c r="C1629" s="84"/>
      <c r="D1629" s="85"/>
      <c r="E1629" s="85"/>
      <c r="F1629" s="86"/>
      <c r="G1629" s="86"/>
      <c r="H1629" s="87"/>
      <c r="I1629" s="86"/>
      <c r="J1629" s="87"/>
      <c r="K1629" s="86"/>
      <c r="L1629" s="86"/>
      <c r="M1629" s="87"/>
      <c r="N1629" s="86"/>
      <c r="O1629" s="87"/>
    </row>
    <row r="1630" spans="2:15">
      <c r="B1630" s="83"/>
      <c r="C1630" s="84"/>
      <c r="D1630" s="85"/>
      <c r="E1630" s="85"/>
      <c r="F1630" s="86"/>
      <c r="G1630" s="86"/>
      <c r="H1630" s="87"/>
      <c r="I1630" s="86"/>
      <c r="J1630" s="87"/>
      <c r="K1630" s="86"/>
      <c r="L1630" s="86"/>
      <c r="M1630" s="87"/>
      <c r="N1630" s="86"/>
      <c r="O1630" s="87"/>
    </row>
    <row r="1631" spans="2:15">
      <c r="B1631" s="83"/>
      <c r="C1631" s="84"/>
      <c r="D1631" s="85"/>
      <c r="E1631" s="85"/>
      <c r="F1631" s="86"/>
      <c r="G1631" s="86"/>
      <c r="H1631" s="87"/>
      <c r="I1631" s="86"/>
      <c r="J1631" s="87"/>
      <c r="K1631" s="86"/>
      <c r="L1631" s="86"/>
      <c r="M1631" s="87"/>
      <c r="N1631" s="86"/>
      <c r="O1631" s="87"/>
    </row>
    <row r="1632" spans="2:15">
      <c r="B1632" s="83"/>
      <c r="C1632" s="84"/>
      <c r="D1632" s="85"/>
      <c r="E1632" s="85"/>
      <c r="F1632" s="86"/>
      <c r="G1632" s="86"/>
      <c r="H1632" s="87"/>
      <c r="I1632" s="86"/>
      <c r="J1632" s="87"/>
      <c r="K1632" s="86"/>
      <c r="L1632" s="86"/>
      <c r="M1632" s="87"/>
      <c r="N1632" s="86"/>
      <c r="O1632" s="87"/>
    </row>
    <row r="1633" spans="2:15">
      <c r="B1633" s="83"/>
      <c r="C1633" s="84"/>
      <c r="D1633" s="85"/>
      <c r="E1633" s="85"/>
      <c r="F1633" s="86"/>
      <c r="G1633" s="86"/>
      <c r="H1633" s="87"/>
      <c r="I1633" s="86"/>
      <c r="J1633" s="87"/>
      <c r="K1633" s="86"/>
      <c r="L1633" s="86"/>
      <c r="M1633" s="87"/>
      <c r="N1633" s="86"/>
      <c r="O1633" s="87"/>
    </row>
    <row r="1634" spans="2:15">
      <c r="B1634" s="83"/>
      <c r="C1634" s="84"/>
      <c r="D1634" s="85"/>
      <c r="E1634" s="85"/>
      <c r="F1634" s="86"/>
      <c r="G1634" s="86"/>
      <c r="H1634" s="87"/>
      <c r="I1634" s="86"/>
      <c r="J1634" s="87"/>
      <c r="K1634" s="86"/>
      <c r="L1634" s="86"/>
      <c r="M1634" s="87"/>
      <c r="N1634" s="86"/>
      <c r="O1634" s="87"/>
    </row>
    <row r="1635" spans="2:15">
      <c r="B1635" s="83"/>
      <c r="C1635" s="84"/>
      <c r="D1635" s="85"/>
      <c r="E1635" s="85"/>
      <c r="F1635" s="86"/>
      <c r="G1635" s="86"/>
      <c r="H1635" s="87"/>
      <c r="I1635" s="86"/>
      <c r="J1635" s="87"/>
      <c r="K1635" s="86"/>
      <c r="L1635" s="86"/>
      <c r="M1635" s="87"/>
      <c r="N1635" s="86"/>
      <c r="O1635" s="87"/>
    </row>
    <row r="1636" spans="2:15">
      <c r="B1636" s="83"/>
      <c r="C1636" s="84"/>
      <c r="D1636" s="85"/>
      <c r="E1636" s="85"/>
      <c r="F1636" s="86"/>
      <c r="G1636" s="86"/>
      <c r="H1636" s="87"/>
      <c r="I1636" s="86"/>
      <c r="J1636" s="87"/>
      <c r="K1636" s="86"/>
      <c r="L1636" s="86"/>
      <c r="M1636" s="87"/>
      <c r="N1636" s="86"/>
      <c r="O1636" s="87"/>
    </row>
    <row r="1637" spans="2:15">
      <c r="B1637" s="83"/>
      <c r="C1637" s="84"/>
      <c r="D1637" s="85"/>
      <c r="E1637" s="85"/>
      <c r="F1637" s="86"/>
      <c r="G1637" s="86"/>
      <c r="H1637" s="87"/>
      <c r="I1637" s="86"/>
      <c r="J1637" s="87"/>
      <c r="K1637" s="86"/>
      <c r="L1637" s="86"/>
      <c r="M1637" s="87"/>
      <c r="N1637" s="86"/>
      <c r="O1637" s="87"/>
    </row>
    <row r="1638" spans="2:15">
      <c r="B1638" s="83"/>
      <c r="C1638" s="84"/>
      <c r="D1638" s="85"/>
      <c r="E1638" s="85"/>
      <c r="F1638" s="86"/>
      <c r="G1638" s="86"/>
      <c r="H1638" s="87"/>
      <c r="I1638" s="86"/>
      <c r="J1638" s="87"/>
      <c r="K1638" s="86"/>
      <c r="L1638" s="86"/>
      <c r="M1638" s="87"/>
      <c r="N1638" s="86"/>
      <c r="O1638" s="87"/>
    </row>
    <row r="1639" spans="2:15">
      <c r="B1639" s="83"/>
      <c r="C1639" s="84"/>
      <c r="D1639" s="85"/>
      <c r="E1639" s="85"/>
      <c r="F1639" s="86"/>
      <c r="G1639" s="86"/>
      <c r="H1639" s="87"/>
      <c r="I1639" s="86"/>
      <c r="J1639" s="87"/>
      <c r="K1639" s="86"/>
      <c r="L1639" s="86"/>
      <c r="M1639" s="87"/>
      <c r="N1639" s="86"/>
      <c r="O1639" s="87"/>
    </row>
    <row r="1640" spans="2:15">
      <c r="B1640" s="83"/>
      <c r="C1640" s="84"/>
      <c r="D1640" s="85"/>
      <c r="E1640" s="85"/>
      <c r="F1640" s="86"/>
      <c r="G1640" s="86"/>
      <c r="H1640" s="87"/>
      <c r="I1640" s="86"/>
      <c r="J1640" s="87"/>
      <c r="K1640" s="86"/>
      <c r="L1640" s="86"/>
      <c r="M1640" s="87"/>
      <c r="N1640" s="86"/>
      <c r="O1640" s="87"/>
    </row>
    <row r="1641" spans="2:15">
      <c r="B1641" s="83"/>
      <c r="C1641" s="84"/>
      <c r="D1641" s="85"/>
      <c r="E1641" s="85"/>
      <c r="F1641" s="86"/>
      <c r="G1641" s="86"/>
      <c r="H1641" s="87"/>
      <c r="I1641" s="86"/>
      <c r="J1641" s="87"/>
      <c r="K1641" s="86"/>
      <c r="L1641" s="86"/>
      <c r="M1641" s="87"/>
      <c r="N1641" s="86"/>
      <c r="O1641" s="87"/>
    </row>
    <row r="1642" spans="2:15">
      <c r="B1642" s="83"/>
      <c r="C1642" s="84"/>
      <c r="D1642" s="85"/>
      <c r="E1642" s="85"/>
      <c r="F1642" s="86"/>
      <c r="G1642" s="86"/>
      <c r="H1642" s="87"/>
      <c r="I1642" s="86"/>
      <c r="J1642" s="87"/>
      <c r="K1642" s="86"/>
      <c r="L1642" s="86"/>
      <c r="M1642" s="87"/>
      <c r="N1642" s="86"/>
      <c r="O1642" s="87"/>
    </row>
    <row r="1643" spans="2:15">
      <c r="B1643" s="83"/>
      <c r="C1643" s="84"/>
      <c r="D1643" s="85"/>
      <c r="E1643" s="85"/>
      <c r="F1643" s="86"/>
      <c r="G1643" s="86"/>
      <c r="H1643" s="87"/>
      <c r="I1643" s="86"/>
      <c r="J1643" s="87"/>
      <c r="K1643" s="86"/>
      <c r="L1643" s="86"/>
      <c r="M1643" s="87"/>
      <c r="N1643" s="86"/>
      <c r="O1643" s="87"/>
    </row>
    <row r="1644" spans="2:15">
      <c r="B1644" s="83"/>
      <c r="C1644" s="84"/>
      <c r="D1644" s="85"/>
      <c r="E1644" s="85"/>
      <c r="F1644" s="86"/>
      <c r="G1644" s="86"/>
      <c r="H1644" s="87"/>
      <c r="I1644" s="86"/>
      <c r="J1644" s="87"/>
      <c r="K1644" s="86"/>
      <c r="L1644" s="86"/>
      <c r="M1644" s="87"/>
      <c r="N1644" s="86"/>
      <c r="O1644" s="87"/>
    </row>
    <row r="1645" spans="2:15">
      <c r="B1645" s="83"/>
      <c r="C1645" s="84"/>
      <c r="D1645" s="85"/>
      <c r="E1645" s="85"/>
      <c r="F1645" s="86"/>
      <c r="G1645" s="86"/>
      <c r="H1645" s="87"/>
      <c r="I1645" s="86"/>
      <c r="J1645" s="87"/>
      <c r="K1645" s="86"/>
      <c r="L1645" s="86"/>
      <c r="M1645" s="87"/>
      <c r="N1645" s="86"/>
      <c r="O1645" s="87"/>
    </row>
    <row r="1646" spans="2:15">
      <c r="B1646" s="83"/>
      <c r="C1646" s="84"/>
      <c r="D1646" s="85"/>
      <c r="E1646" s="85"/>
      <c r="F1646" s="86"/>
      <c r="G1646" s="86"/>
      <c r="H1646" s="87"/>
      <c r="I1646" s="86"/>
      <c r="J1646" s="87"/>
      <c r="K1646" s="86"/>
      <c r="L1646" s="86"/>
      <c r="M1646" s="87"/>
      <c r="N1646" s="86"/>
      <c r="O1646" s="87"/>
    </row>
    <row r="1647" spans="2:15">
      <c r="B1647" s="83"/>
      <c r="C1647" s="84"/>
      <c r="D1647" s="85"/>
      <c r="E1647" s="85"/>
      <c r="F1647" s="86"/>
      <c r="G1647" s="86"/>
      <c r="H1647" s="87"/>
      <c r="I1647" s="86"/>
      <c r="J1647" s="87"/>
      <c r="K1647" s="86"/>
      <c r="L1647" s="86"/>
      <c r="M1647" s="87"/>
      <c r="N1647" s="86"/>
      <c r="O1647" s="87"/>
    </row>
    <row r="1648" spans="2:15">
      <c r="B1648" s="83"/>
      <c r="C1648" s="84"/>
      <c r="D1648" s="85"/>
      <c r="E1648" s="85"/>
      <c r="F1648" s="86"/>
      <c r="G1648" s="86"/>
      <c r="H1648" s="87"/>
      <c r="I1648" s="86"/>
      <c r="J1648" s="87"/>
      <c r="K1648" s="86"/>
      <c r="L1648" s="86"/>
      <c r="M1648" s="87"/>
      <c r="N1648" s="86"/>
      <c r="O1648" s="87"/>
    </row>
    <row r="1649" spans="2:15">
      <c r="B1649" s="83"/>
      <c r="C1649" s="84"/>
      <c r="D1649" s="85"/>
      <c r="E1649" s="85"/>
      <c r="F1649" s="86"/>
      <c r="G1649" s="86"/>
      <c r="H1649" s="87"/>
      <c r="I1649" s="86"/>
      <c r="J1649" s="87"/>
      <c r="K1649" s="86"/>
      <c r="L1649" s="86"/>
      <c r="M1649" s="87"/>
      <c r="N1649" s="86"/>
      <c r="O1649" s="87"/>
    </row>
    <row r="1650" spans="2:15">
      <c r="B1650" s="83"/>
      <c r="C1650" s="84"/>
      <c r="D1650" s="85"/>
      <c r="E1650" s="85"/>
      <c r="F1650" s="86"/>
      <c r="G1650" s="86"/>
      <c r="H1650" s="87"/>
      <c r="I1650" s="86"/>
      <c r="J1650" s="87"/>
      <c r="K1650" s="86"/>
      <c r="L1650" s="86"/>
      <c r="M1650" s="87"/>
      <c r="N1650" s="86"/>
      <c r="O1650" s="87"/>
    </row>
    <row r="1651" spans="2:15">
      <c r="B1651" s="83"/>
      <c r="C1651" s="84"/>
      <c r="D1651" s="85"/>
      <c r="E1651" s="85"/>
      <c r="F1651" s="86"/>
      <c r="G1651" s="86"/>
      <c r="H1651" s="87"/>
      <c r="I1651" s="86"/>
      <c r="J1651" s="87"/>
      <c r="K1651" s="86"/>
      <c r="L1651" s="86"/>
      <c r="M1651" s="87"/>
      <c r="N1651" s="86"/>
      <c r="O1651" s="87"/>
    </row>
    <row r="1652" spans="2:15">
      <c r="B1652" s="83"/>
      <c r="C1652" s="84"/>
      <c r="D1652" s="85"/>
      <c r="E1652" s="85"/>
      <c r="F1652" s="86"/>
      <c r="G1652" s="86"/>
      <c r="H1652" s="87"/>
      <c r="I1652" s="86"/>
      <c r="J1652" s="87"/>
      <c r="K1652" s="86"/>
      <c r="L1652" s="86"/>
      <c r="M1652" s="87"/>
      <c r="N1652" s="86"/>
      <c r="O1652" s="87"/>
    </row>
    <row r="1653" spans="2:15">
      <c r="B1653" s="83"/>
      <c r="C1653" s="84"/>
      <c r="D1653" s="85"/>
      <c r="E1653" s="85"/>
      <c r="F1653" s="86"/>
      <c r="G1653" s="86"/>
      <c r="H1653" s="87"/>
      <c r="I1653" s="86"/>
      <c r="J1653" s="87"/>
      <c r="K1653" s="86"/>
      <c r="L1653" s="86"/>
      <c r="M1653" s="87"/>
      <c r="N1653" s="86"/>
      <c r="O1653" s="87"/>
    </row>
    <row r="1654" spans="2:15">
      <c r="B1654" s="83"/>
      <c r="C1654" s="84"/>
      <c r="D1654" s="85"/>
      <c r="E1654" s="85"/>
      <c r="F1654" s="86"/>
      <c r="G1654" s="86"/>
      <c r="H1654" s="87"/>
      <c r="I1654" s="86"/>
      <c r="J1654" s="87"/>
      <c r="K1654" s="86"/>
      <c r="L1654" s="86"/>
      <c r="M1654" s="87"/>
      <c r="N1654" s="86"/>
      <c r="O1654" s="87"/>
    </row>
    <row r="1655" spans="2:15">
      <c r="B1655" s="83"/>
      <c r="C1655" s="84"/>
      <c r="D1655" s="85"/>
      <c r="E1655" s="85"/>
      <c r="F1655" s="86"/>
      <c r="G1655" s="86"/>
      <c r="H1655" s="87"/>
      <c r="I1655" s="86"/>
      <c r="J1655" s="87"/>
      <c r="K1655" s="86"/>
      <c r="L1655" s="86"/>
      <c r="M1655" s="87"/>
      <c r="N1655" s="86"/>
      <c r="O1655" s="87"/>
    </row>
    <row r="1656" spans="2:15">
      <c r="B1656" s="83"/>
      <c r="C1656" s="84"/>
      <c r="D1656" s="85"/>
      <c r="E1656" s="85"/>
      <c r="F1656" s="86"/>
      <c r="G1656" s="86"/>
      <c r="H1656" s="87"/>
      <c r="I1656" s="86"/>
      <c r="J1656" s="87"/>
      <c r="K1656" s="86"/>
      <c r="L1656" s="86"/>
      <c r="M1656" s="87"/>
      <c r="N1656" s="86"/>
      <c r="O1656" s="87"/>
    </row>
    <row r="1657" spans="2:15">
      <c r="B1657" s="83"/>
      <c r="C1657" s="84"/>
      <c r="D1657" s="85"/>
      <c r="E1657" s="85"/>
      <c r="F1657" s="86"/>
      <c r="G1657" s="86"/>
      <c r="H1657" s="87"/>
      <c r="I1657" s="86"/>
      <c r="J1657" s="87"/>
      <c r="K1657" s="86"/>
      <c r="L1657" s="86"/>
      <c r="M1657" s="87"/>
      <c r="N1657" s="86"/>
      <c r="O1657" s="87"/>
    </row>
    <row r="1658" spans="2:15">
      <c r="B1658" s="83"/>
      <c r="C1658" s="84"/>
      <c r="D1658" s="85"/>
      <c r="E1658" s="85"/>
      <c r="F1658" s="86"/>
      <c r="G1658" s="86"/>
      <c r="H1658" s="87"/>
      <c r="I1658" s="86"/>
      <c r="J1658" s="87"/>
      <c r="K1658" s="86"/>
      <c r="L1658" s="86"/>
      <c r="M1658" s="87"/>
      <c r="N1658" s="86"/>
      <c r="O1658" s="87"/>
    </row>
    <row r="1659" spans="2:15">
      <c r="B1659" s="83"/>
      <c r="C1659" s="84"/>
      <c r="D1659" s="85"/>
      <c r="E1659" s="85"/>
      <c r="F1659" s="86"/>
      <c r="G1659" s="86"/>
      <c r="H1659" s="87"/>
      <c r="I1659" s="86"/>
      <c r="J1659" s="87"/>
      <c r="K1659" s="86"/>
      <c r="L1659" s="86"/>
      <c r="M1659" s="87"/>
      <c r="N1659" s="86"/>
      <c r="O1659" s="87"/>
    </row>
    <row r="1660" spans="2:15">
      <c r="B1660" s="83"/>
      <c r="C1660" s="84"/>
      <c r="D1660" s="85"/>
      <c r="E1660" s="85"/>
      <c r="F1660" s="86"/>
      <c r="G1660" s="86"/>
      <c r="H1660" s="87"/>
      <c r="I1660" s="86"/>
      <c r="J1660" s="87"/>
      <c r="K1660" s="86"/>
      <c r="L1660" s="86"/>
      <c r="M1660" s="87"/>
      <c r="N1660" s="86"/>
      <c r="O1660" s="87"/>
    </row>
    <row r="1661" spans="2:15">
      <c r="B1661" s="83"/>
      <c r="C1661" s="84"/>
      <c r="D1661" s="85"/>
      <c r="E1661" s="85"/>
      <c r="F1661" s="86"/>
      <c r="G1661" s="86"/>
      <c r="H1661" s="87"/>
      <c r="I1661" s="86"/>
      <c r="J1661" s="87"/>
      <c r="K1661" s="86"/>
      <c r="L1661" s="86"/>
      <c r="M1661" s="87"/>
      <c r="N1661" s="86"/>
      <c r="O1661" s="87"/>
    </row>
    <row r="1662" spans="2:15">
      <c r="B1662" s="83"/>
      <c r="C1662" s="84"/>
      <c r="D1662" s="85"/>
      <c r="E1662" s="85"/>
      <c r="F1662" s="86"/>
      <c r="G1662" s="86"/>
      <c r="H1662" s="87"/>
      <c r="I1662" s="86"/>
      <c r="J1662" s="87"/>
      <c r="K1662" s="86"/>
      <c r="L1662" s="86"/>
      <c r="M1662" s="87"/>
      <c r="N1662" s="86"/>
      <c r="O1662" s="87"/>
    </row>
    <row r="1663" spans="2:15">
      <c r="B1663" s="83"/>
      <c r="C1663" s="84"/>
      <c r="D1663" s="85"/>
      <c r="E1663" s="85"/>
      <c r="F1663" s="86"/>
      <c r="G1663" s="86"/>
      <c r="H1663" s="87"/>
      <c r="I1663" s="86"/>
      <c r="J1663" s="87"/>
      <c r="K1663" s="86"/>
      <c r="L1663" s="86"/>
      <c r="M1663" s="87"/>
      <c r="N1663" s="86"/>
      <c r="O1663" s="87"/>
    </row>
    <row r="1664" spans="2:15">
      <c r="B1664" s="83"/>
      <c r="C1664" s="84"/>
      <c r="D1664" s="85"/>
      <c r="E1664" s="85"/>
      <c r="F1664" s="86"/>
      <c r="G1664" s="86"/>
      <c r="H1664" s="87"/>
      <c r="I1664" s="86"/>
      <c r="J1664" s="87"/>
      <c r="K1664" s="86"/>
      <c r="L1664" s="86"/>
      <c r="M1664" s="87"/>
      <c r="N1664" s="86"/>
      <c r="O1664" s="87"/>
    </row>
    <row r="1665" spans="2:15">
      <c r="B1665" s="83"/>
      <c r="C1665" s="84"/>
      <c r="D1665" s="85"/>
      <c r="E1665" s="85"/>
      <c r="F1665" s="86"/>
      <c r="G1665" s="86"/>
      <c r="H1665" s="87"/>
      <c r="I1665" s="86"/>
      <c r="J1665" s="87"/>
      <c r="K1665" s="86"/>
      <c r="L1665" s="86"/>
      <c r="M1665" s="87"/>
      <c r="N1665" s="86"/>
      <c r="O1665" s="87"/>
    </row>
    <row r="1666" spans="2:15">
      <c r="B1666" s="83"/>
      <c r="C1666" s="84"/>
      <c r="D1666" s="85"/>
      <c r="E1666" s="85"/>
      <c r="F1666" s="86"/>
      <c r="G1666" s="86"/>
      <c r="H1666" s="87"/>
      <c r="I1666" s="86"/>
      <c r="J1666" s="87"/>
      <c r="K1666" s="86"/>
      <c r="L1666" s="86"/>
      <c r="M1666" s="87"/>
      <c r="N1666" s="86"/>
      <c r="O1666" s="87"/>
    </row>
    <row r="1667" spans="2:15">
      <c r="B1667" s="83"/>
      <c r="C1667" s="84"/>
      <c r="D1667" s="85"/>
      <c r="E1667" s="85"/>
      <c r="F1667" s="86"/>
      <c r="G1667" s="86"/>
      <c r="H1667" s="87"/>
      <c r="I1667" s="86"/>
      <c r="J1667" s="87"/>
      <c r="K1667" s="86"/>
      <c r="L1667" s="86"/>
      <c r="M1667" s="87"/>
      <c r="N1667" s="86"/>
      <c r="O1667" s="87"/>
    </row>
    <row r="1668" spans="2:15">
      <c r="B1668" s="83"/>
      <c r="C1668" s="84"/>
      <c r="D1668" s="85"/>
      <c r="E1668" s="85"/>
      <c r="F1668" s="86"/>
      <c r="G1668" s="86"/>
      <c r="H1668" s="87"/>
      <c r="I1668" s="86"/>
      <c r="J1668" s="87"/>
      <c r="K1668" s="86"/>
      <c r="L1668" s="86"/>
      <c r="M1668" s="87"/>
      <c r="N1668" s="86"/>
      <c r="O1668" s="87"/>
    </row>
    <row r="1669" spans="2:15">
      <c r="B1669" s="83"/>
      <c r="C1669" s="84"/>
      <c r="D1669" s="85"/>
      <c r="E1669" s="85"/>
      <c r="F1669" s="86"/>
      <c r="G1669" s="86"/>
      <c r="H1669" s="87"/>
      <c r="I1669" s="86"/>
      <c r="J1669" s="87"/>
      <c r="K1669" s="86"/>
      <c r="L1669" s="86"/>
      <c r="M1669" s="87"/>
      <c r="N1669" s="86"/>
      <c r="O1669" s="87"/>
    </row>
    <row r="1670" spans="2:15">
      <c r="B1670" s="83"/>
      <c r="C1670" s="84"/>
      <c r="D1670" s="85"/>
      <c r="E1670" s="85"/>
      <c r="F1670" s="86"/>
      <c r="G1670" s="86"/>
      <c r="H1670" s="87"/>
      <c r="I1670" s="86"/>
      <c r="J1670" s="87"/>
      <c r="K1670" s="86"/>
      <c r="L1670" s="86"/>
      <c r="M1670" s="87"/>
      <c r="N1670" s="86"/>
      <c r="O1670" s="87"/>
    </row>
    <row r="1671" spans="2:15">
      <c r="B1671" s="83"/>
      <c r="C1671" s="84"/>
      <c r="D1671" s="85"/>
      <c r="E1671" s="85"/>
      <c r="F1671" s="86"/>
      <c r="G1671" s="86"/>
      <c r="H1671" s="87"/>
      <c r="I1671" s="86"/>
      <c r="J1671" s="87"/>
      <c r="K1671" s="86"/>
      <c r="L1671" s="86"/>
      <c r="M1671" s="87"/>
      <c r="N1671" s="86"/>
      <c r="O1671" s="87"/>
    </row>
    <row r="1672" spans="2:15">
      <c r="B1672" s="83"/>
      <c r="C1672" s="84"/>
      <c r="D1672" s="85"/>
      <c r="E1672" s="85"/>
      <c r="F1672" s="86"/>
      <c r="G1672" s="86"/>
      <c r="H1672" s="87"/>
      <c r="I1672" s="86"/>
      <c r="J1672" s="87"/>
      <c r="K1672" s="86"/>
      <c r="L1672" s="86"/>
      <c r="M1672" s="87"/>
      <c r="N1672" s="86"/>
      <c r="O1672" s="87"/>
    </row>
    <row r="1673" spans="2:15">
      <c r="B1673" s="83"/>
      <c r="C1673" s="84"/>
      <c r="D1673" s="85"/>
      <c r="E1673" s="85"/>
      <c r="F1673" s="86"/>
      <c r="G1673" s="86"/>
      <c r="H1673" s="87"/>
      <c r="I1673" s="86"/>
      <c r="J1673" s="87"/>
      <c r="K1673" s="86"/>
      <c r="L1673" s="86"/>
      <c r="M1673" s="87"/>
      <c r="N1673" s="86"/>
      <c r="O1673" s="87"/>
    </row>
    <row r="1674" spans="2:15">
      <c r="B1674" s="83"/>
      <c r="C1674" s="84"/>
      <c r="D1674" s="85"/>
      <c r="E1674" s="85"/>
      <c r="F1674" s="86"/>
      <c r="G1674" s="86"/>
      <c r="H1674" s="87"/>
      <c r="I1674" s="86"/>
      <c r="J1674" s="87"/>
      <c r="K1674" s="86"/>
      <c r="L1674" s="86"/>
      <c r="M1674" s="87"/>
      <c r="N1674" s="86"/>
      <c r="O1674" s="87"/>
    </row>
    <row r="1675" spans="2:15">
      <c r="B1675" s="83"/>
      <c r="C1675" s="84"/>
      <c r="D1675" s="85"/>
      <c r="E1675" s="85"/>
      <c r="F1675" s="86"/>
      <c r="G1675" s="86"/>
      <c r="H1675" s="87"/>
      <c r="I1675" s="86"/>
      <c r="J1675" s="87"/>
      <c r="K1675" s="86"/>
      <c r="L1675" s="86"/>
      <c r="M1675" s="87"/>
      <c r="N1675" s="86"/>
      <c r="O1675" s="87"/>
    </row>
    <row r="1676" spans="2:15">
      <c r="B1676" s="83"/>
      <c r="C1676" s="84"/>
      <c r="D1676" s="85"/>
      <c r="E1676" s="85"/>
      <c r="F1676" s="86"/>
      <c r="G1676" s="86"/>
      <c r="H1676" s="87"/>
      <c r="I1676" s="86"/>
      <c r="J1676" s="87"/>
      <c r="K1676" s="86"/>
      <c r="L1676" s="86"/>
      <c r="M1676" s="87"/>
      <c r="N1676" s="86"/>
      <c r="O1676" s="87"/>
    </row>
    <row r="1677" spans="2:15">
      <c r="B1677" s="83"/>
      <c r="C1677" s="84"/>
      <c r="D1677" s="85"/>
      <c r="E1677" s="85"/>
      <c r="F1677" s="86"/>
      <c r="G1677" s="86"/>
      <c r="H1677" s="87"/>
      <c r="I1677" s="86"/>
      <c r="J1677" s="87"/>
      <c r="K1677" s="86"/>
      <c r="L1677" s="86"/>
      <c r="M1677" s="87"/>
      <c r="N1677" s="86"/>
      <c r="O1677" s="87"/>
    </row>
    <row r="1678" spans="2:15">
      <c r="B1678" s="83"/>
      <c r="C1678" s="84"/>
      <c r="D1678" s="85"/>
      <c r="E1678" s="85"/>
      <c r="F1678" s="86"/>
      <c r="G1678" s="86"/>
      <c r="H1678" s="87"/>
      <c r="I1678" s="86"/>
      <c r="J1678" s="87"/>
      <c r="K1678" s="86"/>
      <c r="L1678" s="86"/>
      <c r="M1678" s="87"/>
      <c r="N1678" s="86"/>
      <c r="O1678" s="87"/>
    </row>
    <row r="1679" spans="2:15">
      <c r="B1679" s="83"/>
      <c r="C1679" s="84"/>
      <c r="D1679" s="85"/>
      <c r="E1679" s="85"/>
      <c r="F1679" s="86"/>
      <c r="G1679" s="86"/>
      <c r="H1679" s="87"/>
      <c r="I1679" s="86"/>
      <c r="J1679" s="87"/>
      <c r="K1679" s="86"/>
      <c r="L1679" s="86"/>
      <c r="M1679" s="87"/>
      <c r="N1679" s="86"/>
      <c r="O1679" s="87"/>
    </row>
    <row r="1680" spans="2:15">
      <c r="B1680" s="83"/>
      <c r="C1680" s="84"/>
      <c r="D1680" s="85"/>
      <c r="E1680" s="85"/>
      <c r="F1680" s="86"/>
      <c r="G1680" s="86"/>
      <c r="H1680" s="87"/>
      <c r="I1680" s="86"/>
      <c r="J1680" s="87"/>
      <c r="K1680" s="86"/>
      <c r="L1680" s="86"/>
      <c r="M1680" s="87"/>
      <c r="N1680" s="86"/>
      <c r="O1680" s="87"/>
    </row>
    <row r="1681" spans="2:15">
      <c r="B1681" s="83"/>
      <c r="C1681" s="84"/>
      <c r="D1681" s="85"/>
      <c r="E1681" s="85"/>
      <c r="F1681" s="86"/>
      <c r="G1681" s="86"/>
      <c r="H1681" s="87"/>
      <c r="I1681" s="86"/>
      <c r="J1681" s="87"/>
      <c r="K1681" s="86"/>
      <c r="L1681" s="86"/>
      <c r="M1681" s="87"/>
      <c r="N1681" s="86"/>
      <c r="O1681" s="87"/>
    </row>
    <row r="1682" spans="2:15">
      <c r="B1682" s="83"/>
      <c r="C1682" s="84"/>
      <c r="D1682" s="85"/>
      <c r="E1682" s="85"/>
      <c r="F1682" s="86"/>
      <c r="G1682" s="86"/>
      <c r="H1682" s="87"/>
      <c r="I1682" s="86"/>
      <c r="J1682" s="87"/>
      <c r="K1682" s="86"/>
      <c r="L1682" s="86"/>
      <c r="M1682" s="87"/>
      <c r="N1682" s="86"/>
      <c r="O1682" s="87"/>
    </row>
    <row r="1683" spans="2:15">
      <c r="B1683" s="83"/>
      <c r="C1683" s="84"/>
      <c r="D1683" s="85"/>
      <c r="E1683" s="85"/>
      <c r="F1683" s="86"/>
      <c r="G1683" s="86"/>
      <c r="H1683" s="87"/>
      <c r="I1683" s="86"/>
      <c r="J1683" s="87"/>
      <c r="K1683" s="86"/>
      <c r="L1683" s="86"/>
      <c r="M1683" s="87"/>
      <c r="N1683" s="86"/>
      <c r="O1683" s="87"/>
    </row>
    <row r="1684" spans="2:15">
      <c r="B1684" s="83"/>
      <c r="C1684" s="84"/>
      <c r="D1684" s="85"/>
      <c r="E1684" s="85"/>
      <c r="F1684" s="86"/>
      <c r="G1684" s="86"/>
      <c r="H1684" s="87"/>
      <c r="I1684" s="86"/>
      <c r="J1684" s="87"/>
      <c r="K1684" s="86"/>
      <c r="L1684" s="86"/>
      <c r="M1684" s="87"/>
      <c r="N1684" s="86"/>
      <c r="O1684" s="87"/>
    </row>
    <row r="1685" spans="2:15">
      <c r="B1685" s="83"/>
      <c r="C1685" s="84"/>
      <c r="D1685" s="85"/>
      <c r="E1685" s="85"/>
      <c r="F1685" s="86"/>
      <c r="G1685" s="86"/>
      <c r="H1685" s="87"/>
      <c r="I1685" s="86"/>
      <c r="J1685" s="87"/>
      <c r="K1685" s="86"/>
      <c r="L1685" s="86"/>
      <c r="M1685" s="87"/>
      <c r="N1685" s="86"/>
      <c r="O1685" s="87"/>
    </row>
    <row r="1686" spans="2:15">
      <c r="B1686" s="83"/>
      <c r="C1686" s="84"/>
      <c r="D1686" s="85"/>
      <c r="E1686" s="85"/>
      <c r="F1686" s="86"/>
      <c r="G1686" s="86"/>
      <c r="H1686" s="87"/>
      <c r="I1686" s="86"/>
      <c r="J1686" s="87"/>
      <c r="K1686" s="86"/>
      <c r="L1686" s="86"/>
      <c r="M1686" s="87"/>
      <c r="N1686" s="86"/>
      <c r="O1686" s="87"/>
    </row>
    <row r="1687" spans="2:15">
      <c r="B1687" s="83"/>
      <c r="C1687" s="84"/>
      <c r="D1687" s="85"/>
      <c r="E1687" s="85"/>
      <c r="F1687" s="86"/>
      <c r="G1687" s="86"/>
      <c r="H1687" s="87"/>
      <c r="I1687" s="86"/>
      <c r="J1687" s="87"/>
      <c r="K1687" s="86"/>
      <c r="L1687" s="86"/>
      <c r="M1687" s="87"/>
      <c r="N1687" s="86"/>
      <c r="O1687" s="87"/>
    </row>
    <row r="1688" spans="2:15">
      <c r="B1688" s="83"/>
      <c r="C1688" s="84"/>
      <c r="D1688" s="85"/>
      <c r="E1688" s="85"/>
      <c r="F1688" s="86"/>
      <c r="G1688" s="86"/>
      <c r="H1688" s="87"/>
      <c r="I1688" s="86"/>
      <c r="J1688" s="87"/>
      <c r="K1688" s="86"/>
      <c r="L1688" s="86"/>
      <c r="M1688" s="87"/>
      <c r="N1688" s="86"/>
      <c r="O1688" s="87"/>
    </row>
    <row r="1689" spans="2:15">
      <c r="B1689" s="83"/>
      <c r="C1689" s="84"/>
      <c r="D1689" s="85"/>
      <c r="E1689" s="85"/>
      <c r="F1689" s="86"/>
      <c r="G1689" s="86"/>
      <c r="H1689" s="87"/>
      <c r="I1689" s="86"/>
      <c r="J1689" s="87"/>
      <c r="K1689" s="86"/>
      <c r="L1689" s="86"/>
      <c r="M1689" s="87"/>
      <c r="N1689" s="86"/>
      <c r="O1689" s="87"/>
    </row>
    <row r="1690" spans="2:15">
      <c r="B1690" s="83"/>
      <c r="C1690" s="84"/>
      <c r="D1690" s="85"/>
      <c r="E1690" s="85"/>
      <c r="F1690" s="86"/>
      <c r="G1690" s="86"/>
      <c r="H1690" s="87"/>
      <c r="I1690" s="86"/>
      <c r="J1690" s="87"/>
      <c r="K1690" s="86"/>
      <c r="L1690" s="86"/>
      <c r="M1690" s="87"/>
      <c r="N1690" s="86"/>
      <c r="O1690" s="87"/>
    </row>
    <row r="1691" spans="2:15">
      <c r="B1691" s="83"/>
      <c r="C1691" s="84"/>
      <c r="D1691" s="85"/>
      <c r="E1691" s="85"/>
      <c r="F1691" s="86"/>
      <c r="G1691" s="86"/>
      <c r="H1691" s="87"/>
      <c r="I1691" s="86"/>
      <c r="J1691" s="87"/>
      <c r="K1691" s="86"/>
      <c r="L1691" s="86"/>
      <c r="M1691" s="87"/>
      <c r="N1691" s="86"/>
      <c r="O1691" s="87"/>
    </row>
    <row r="1692" spans="2:15">
      <c r="B1692" s="83"/>
      <c r="C1692" s="84"/>
      <c r="D1692" s="85"/>
      <c r="E1692" s="85"/>
      <c r="F1692" s="86"/>
      <c r="G1692" s="86"/>
      <c r="H1692" s="87"/>
      <c r="I1692" s="86"/>
      <c r="J1692" s="87"/>
      <c r="K1692" s="86"/>
      <c r="L1692" s="86"/>
      <c r="M1692" s="87"/>
      <c r="N1692" s="86"/>
      <c r="O1692" s="87"/>
    </row>
    <row r="1693" spans="2:15">
      <c r="B1693" s="83"/>
      <c r="C1693" s="84"/>
      <c r="D1693" s="85"/>
      <c r="E1693" s="85"/>
      <c r="F1693" s="86"/>
      <c r="G1693" s="86"/>
      <c r="H1693" s="87"/>
      <c r="I1693" s="86"/>
      <c r="J1693" s="87"/>
      <c r="K1693" s="86"/>
      <c r="L1693" s="86"/>
      <c r="M1693" s="87"/>
      <c r="N1693" s="86"/>
      <c r="O1693" s="87"/>
    </row>
    <row r="1694" spans="2:15">
      <c r="B1694" s="83"/>
      <c r="C1694" s="84"/>
      <c r="D1694" s="85"/>
      <c r="E1694" s="85"/>
      <c r="F1694" s="86"/>
      <c r="G1694" s="86"/>
      <c r="H1694" s="87"/>
      <c r="I1694" s="86"/>
      <c r="J1694" s="87"/>
      <c r="K1694" s="86"/>
      <c r="L1694" s="86"/>
      <c r="M1694" s="87"/>
      <c r="N1694" s="86"/>
      <c r="O1694" s="87"/>
    </row>
    <row r="1695" spans="2:15">
      <c r="B1695" s="83"/>
      <c r="C1695" s="84"/>
      <c r="D1695" s="85"/>
      <c r="E1695" s="85"/>
      <c r="F1695" s="86"/>
      <c r="G1695" s="86"/>
      <c r="H1695" s="87"/>
      <c r="I1695" s="86"/>
      <c r="J1695" s="87"/>
      <c r="K1695" s="86"/>
      <c r="L1695" s="86"/>
      <c r="M1695" s="87"/>
      <c r="N1695" s="86"/>
      <c r="O1695" s="87"/>
    </row>
    <row r="1696" spans="2:15">
      <c r="B1696" s="83"/>
      <c r="C1696" s="84"/>
      <c r="D1696" s="85"/>
      <c r="E1696" s="85"/>
      <c r="F1696" s="86"/>
      <c r="G1696" s="86"/>
      <c r="H1696" s="87"/>
      <c r="I1696" s="86"/>
      <c r="J1696" s="87"/>
      <c r="K1696" s="86"/>
      <c r="L1696" s="86"/>
      <c r="M1696" s="87"/>
      <c r="N1696" s="86"/>
      <c r="O1696" s="87"/>
    </row>
    <row r="1697" spans="2:15">
      <c r="B1697" s="83"/>
      <c r="C1697" s="84"/>
      <c r="D1697" s="85"/>
      <c r="E1697" s="85"/>
      <c r="F1697" s="86"/>
      <c r="G1697" s="86"/>
      <c r="H1697" s="87"/>
      <c r="I1697" s="86"/>
      <c r="J1697" s="87"/>
      <c r="K1697" s="86"/>
      <c r="L1697" s="86"/>
      <c r="M1697" s="87"/>
      <c r="N1697" s="86"/>
      <c r="O1697" s="87"/>
    </row>
    <row r="1698" spans="2:15">
      <c r="B1698" s="83"/>
      <c r="C1698" s="84"/>
      <c r="D1698" s="85"/>
      <c r="E1698" s="85"/>
      <c r="F1698" s="86"/>
      <c r="G1698" s="86"/>
      <c r="H1698" s="87"/>
      <c r="I1698" s="86"/>
      <c r="J1698" s="87"/>
      <c r="K1698" s="86"/>
      <c r="L1698" s="86"/>
      <c r="M1698" s="87"/>
      <c r="N1698" s="86"/>
      <c r="O1698" s="87"/>
    </row>
    <row r="1699" spans="2:15">
      <c r="B1699" s="83"/>
      <c r="C1699" s="84"/>
      <c r="D1699" s="85"/>
      <c r="E1699" s="85"/>
      <c r="F1699" s="86"/>
      <c r="G1699" s="86"/>
      <c r="H1699" s="87"/>
      <c r="I1699" s="86"/>
      <c r="J1699" s="87"/>
      <c r="K1699" s="86"/>
      <c r="L1699" s="86"/>
      <c r="M1699" s="87"/>
      <c r="N1699" s="86"/>
      <c r="O1699" s="87"/>
    </row>
    <row r="1700" spans="2:15">
      <c r="B1700" s="83"/>
      <c r="C1700" s="84"/>
      <c r="D1700" s="85"/>
      <c r="E1700" s="85"/>
      <c r="F1700" s="86"/>
      <c r="G1700" s="86"/>
      <c r="H1700" s="87"/>
      <c r="I1700" s="86"/>
      <c r="J1700" s="87"/>
      <c r="K1700" s="86"/>
      <c r="L1700" s="86"/>
      <c r="M1700" s="87"/>
      <c r="N1700" s="86"/>
      <c r="O1700" s="87"/>
    </row>
    <row r="1701" spans="2:15">
      <c r="B1701" s="83"/>
      <c r="C1701" s="84"/>
      <c r="D1701" s="85"/>
      <c r="E1701" s="85"/>
      <c r="F1701" s="86"/>
      <c r="G1701" s="86"/>
      <c r="H1701" s="87"/>
      <c r="I1701" s="86"/>
      <c r="J1701" s="87"/>
      <c r="K1701" s="86"/>
      <c r="L1701" s="86"/>
      <c r="M1701" s="87"/>
      <c r="N1701" s="86"/>
      <c r="O1701" s="87"/>
    </row>
    <row r="1702" spans="2:15">
      <c r="B1702" s="83"/>
      <c r="C1702" s="84"/>
      <c r="D1702" s="85"/>
      <c r="E1702" s="85"/>
      <c r="F1702" s="86"/>
      <c r="G1702" s="86"/>
      <c r="H1702" s="87"/>
      <c r="I1702" s="86"/>
      <c r="J1702" s="87"/>
      <c r="K1702" s="86"/>
      <c r="L1702" s="86"/>
      <c r="M1702" s="87"/>
      <c r="N1702" s="86"/>
      <c r="O1702" s="87"/>
    </row>
    <row r="1703" spans="2:15">
      <c r="B1703" s="83"/>
      <c r="C1703" s="84"/>
      <c r="D1703" s="85"/>
      <c r="E1703" s="85"/>
      <c r="F1703" s="86"/>
      <c r="G1703" s="86"/>
      <c r="H1703" s="87"/>
      <c r="I1703" s="86"/>
      <c r="J1703" s="87"/>
      <c r="K1703" s="86"/>
      <c r="L1703" s="86"/>
      <c r="M1703" s="87"/>
      <c r="N1703" s="86"/>
      <c r="O1703" s="87"/>
    </row>
    <row r="1704" spans="2:15">
      <c r="B1704" s="83"/>
      <c r="C1704" s="84"/>
      <c r="D1704" s="85"/>
      <c r="E1704" s="85"/>
      <c r="F1704" s="86"/>
      <c r="G1704" s="86"/>
      <c r="H1704" s="87"/>
      <c r="I1704" s="86"/>
      <c r="J1704" s="87"/>
      <c r="K1704" s="86"/>
      <c r="L1704" s="86"/>
      <c r="M1704" s="87"/>
      <c r="N1704" s="86"/>
      <c r="O1704" s="87"/>
    </row>
    <row r="1705" spans="2:15">
      <c r="B1705" s="83"/>
      <c r="C1705" s="84"/>
      <c r="D1705" s="85"/>
      <c r="E1705" s="85"/>
      <c r="F1705" s="86"/>
      <c r="G1705" s="86"/>
      <c r="H1705" s="87"/>
      <c r="I1705" s="86"/>
      <c r="J1705" s="87"/>
      <c r="K1705" s="86"/>
      <c r="L1705" s="86"/>
      <c r="M1705" s="87"/>
      <c r="N1705" s="86"/>
      <c r="O1705" s="87"/>
    </row>
    <row r="1706" spans="2:15">
      <c r="B1706" s="83"/>
      <c r="C1706" s="84"/>
      <c r="D1706" s="85"/>
      <c r="E1706" s="85"/>
      <c r="F1706" s="86"/>
      <c r="G1706" s="86"/>
      <c r="H1706" s="87"/>
      <c r="I1706" s="86"/>
      <c r="J1706" s="87"/>
      <c r="K1706" s="86"/>
      <c r="L1706" s="86"/>
      <c r="M1706" s="87"/>
      <c r="N1706" s="86"/>
      <c r="O1706" s="87"/>
    </row>
    <row r="1707" spans="2:15">
      <c r="B1707" s="83"/>
      <c r="C1707" s="84"/>
      <c r="D1707" s="85"/>
      <c r="E1707" s="85"/>
      <c r="F1707" s="86"/>
      <c r="G1707" s="86"/>
      <c r="H1707" s="87"/>
      <c r="I1707" s="86"/>
      <c r="J1707" s="87"/>
      <c r="K1707" s="86"/>
      <c r="L1707" s="86"/>
      <c r="M1707" s="87"/>
      <c r="N1707" s="86"/>
      <c r="O1707" s="87"/>
    </row>
    <row r="1708" spans="2:15">
      <c r="B1708" s="83"/>
      <c r="C1708" s="84"/>
      <c r="D1708" s="85"/>
      <c r="E1708" s="85"/>
      <c r="F1708" s="86"/>
      <c r="G1708" s="86"/>
      <c r="H1708" s="87"/>
      <c r="I1708" s="86"/>
      <c r="J1708" s="87"/>
      <c r="K1708" s="86"/>
      <c r="L1708" s="86"/>
      <c r="M1708" s="87"/>
      <c r="N1708" s="86"/>
      <c r="O1708" s="87"/>
    </row>
    <row r="1709" spans="2:15">
      <c r="B1709" s="83"/>
      <c r="C1709" s="84"/>
      <c r="D1709" s="85"/>
      <c r="E1709" s="85"/>
      <c r="F1709" s="86"/>
      <c r="G1709" s="86"/>
      <c r="H1709" s="87"/>
      <c r="I1709" s="86"/>
      <c r="J1709" s="87"/>
      <c r="K1709" s="86"/>
      <c r="L1709" s="86"/>
      <c r="M1709" s="87"/>
      <c r="N1709" s="86"/>
      <c r="O1709" s="87"/>
    </row>
    <row r="1710" spans="2:15">
      <c r="B1710" s="83"/>
      <c r="C1710" s="84"/>
      <c r="D1710" s="85"/>
      <c r="E1710" s="85"/>
      <c r="F1710" s="86"/>
      <c r="G1710" s="86"/>
      <c r="H1710" s="87"/>
      <c r="I1710" s="86"/>
      <c r="J1710" s="87"/>
      <c r="K1710" s="86"/>
      <c r="L1710" s="86"/>
      <c r="M1710" s="87"/>
      <c r="N1710" s="86"/>
      <c r="O1710" s="87"/>
    </row>
    <row r="1711" spans="2:15">
      <c r="B1711" s="83"/>
      <c r="C1711" s="84"/>
      <c r="D1711" s="85"/>
      <c r="E1711" s="85"/>
      <c r="F1711" s="86"/>
      <c r="G1711" s="86"/>
      <c r="H1711" s="87"/>
      <c r="I1711" s="86"/>
      <c r="J1711" s="87"/>
      <c r="K1711" s="86"/>
      <c r="L1711" s="86"/>
      <c r="M1711" s="87"/>
      <c r="N1711" s="86"/>
      <c r="O1711" s="87"/>
    </row>
    <row r="1712" spans="2:15">
      <c r="B1712" s="83"/>
      <c r="C1712" s="84"/>
      <c r="D1712" s="85"/>
      <c r="E1712" s="85"/>
      <c r="F1712" s="86"/>
      <c r="G1712" s="86"/>
      <c r="H1712" s="87"/>
      <c r="I1712" s="86"/>
      <c r="J1712" s="87"/>
      <c r="K1712" s="86"/>
      <c r="L1712" s="86"/>
      <c r="M1712" s="87"/>
      <c r="N1712" s="86"/>
      <c r="O1712" s="87"/>
    </row>
    <row r="1713" spans="2:15">
      <c r="B1713" s="83"/>
      <c r="C1713" s="84"/>
      <c r="D1713" s="85"/>
      <c r="E1713" s="85"/>
      <c r="F1713" s="86"/>
      <c r="G1713" s="86"/>
      <c r="H1713" s="87"/>
      <c r="I1713" s="86"/>
      <c r="J1713" s="87"/>
      <c r="K1713" s="86"/>
      <c r="L1713" s="86"/>
      <c r="M1713" s="87"/>
      <c r="N1713" s="86"/>
      <c r="O1713" s="87"/>
    </row>
    <row r="1714" spans="2:15">
      <c r="B1714" s="83"/>
      <c r="C1714" s="84"/>
      <c r="D1714" s="85"/>
      <c r="E1714" s="85"/>
      <c r="F1714" s="86"/>
      <c r="G1714" s="86"/>
      <c r="H1714" s="87"/>
      <c r="I1714" s="86"/>
      <c r="J1714" s="87"/>
      <c r="K1714" s="86"/>
      <c r="L1714" s="86"/>
      <c r="M1714" s="87"/>
      <c r="N1714" s="86"/>
      <c r="O1714" s="87"/>
    </row>
    <row r="1715" spans="2:15">
      <c r="B1715" s="83"/>
      <c r="C1715" s="84"/>
      <c r="D1715" s="85"/>
      <c r="E1715" s="85"/>
      <c r="F1715" s="86"/>
      <c r="G1715" s="86"/>
      <c r="H1715" s="87"/>
      <c r="I1715" s="86"/>
      <c r="J1715" s="87"/>
      <c r="K1715" s="86"/>
      <c r="L1715" s="86"/>
      <c r="M1715" s="87"/>
      <c r="N1715" s="86"/>
      <c r="O1715" s="87"/>
    </row>
    <row r="1716" spans="2:15">
      <c r="B1716" s="83"/>
      <c r="C1716" s="84"/>
      <c r="D1716" s="85"/>
      <c r="E1716" s="85"/>
      <c r="F1716" s="86"/>
      <c r="G1716" s="86"/>
      <c r="H1716" s="87"/>
      <c r="I1716" s="86"/>
      <c r="J1716" s="87"/>
      <c r="K1716" s="86"/>
      <c r="L1716" s="86"/>
      <c r="M1716" s="87"/>
      <c r="N1716" s="86"/>
      <c r="O1716" s="87"/>
    </row>
    <row r="1717" spans="2:15">
      <c r="B1717" s="83"/>
      <c r="C1717" s="84"/>
      <c r="D1717" s="85"/>
      <c r="E1717" s="85"/>
      <c r="F1717" s="86"/>
      <c r="G1717" s="86"/>
      <c r="H1717" s="87"/>
      <c r="I1717" s="86"/>
      <c r="J1717" s="87"/>
      <c r="K1717" s="86"/>
      <c r="L1717" s="86"/>
      <c r="M1717" s="87"/>
      <c r="N1717" s="86"/>
      <c r="O1717" s="87"/>
    </row>
    <row r="1718" spans="2:15">
      <c r="B1718" s="83"/>
      <c r="C1718" s="84"/>
      <c r="D1718" s="85"/>
      <c r="E1718" s="85"/>
      <c r="F1718" s="86"/>
      <c r="G1718" s="86"/>
      <c r="H1718" s="87"/>
      <c r="I1718" s="86"/>
      <c r="J1718" s="87"/>
      <c r="K1718" s="86"/>
      <c r="L1718" s="86"/>
      <c r="M1718" s="87"/>
      <c r="N1718" s="86"/>
      <c r="O1718" s="87"/>
    </row>
    <row r="1719" spans="2:15">
      <c r="B1719" s="83"/>
      <c r="C1719" s="84"/>
      <c r="D1719" s="85"/>
      <c r="E1719" s="85"/>
      <c r="F1719" s="86"/>
      <c r="G1719" s="86"/>
      <c r="H1719" s="87"/>
      <c r="I1719" s="86"/>
      <c r="J1719" s="87"/>
      <c r="K1719" s="86"/>
      <c r="L1719" s="86"/>
      <c r="M1719" s="87"/>
      <c r="N1719" s="86"/>
      <c r="O1719" s="87"/>
    </row>
    <row r="1720" spans="2:15">
      <c r="B1720" s="83"/>
      <c r="C1720" s="84"/>
      <c r="D1720" s="85"/>
      <c r="E1720" s="85"/>
      <c r="F1720" s="86"/>
      <c r="G1720" s="86"/>
      <c r="H1720" s="87"/>
      <c r="I1720" s="86"/>
      <c r="J1720" s="87"/>
      <c r="K1720" s="86"/>
      <c r="L1720" s="86"/>
      <c r="M1720" s="87"/>
      <c r="N1720" s="86"/>
      <c r="O1720" s="87"/>
    </row>
    <row r="1721" spans="2:15">
      <c r="B1721" s="83"/>
      <c r="C1721" s="84"/>
      <c r="D1721" s="85"/>
      <c r="E1721" s="85"/>
      <c r="F1721" s="86"/>
      <c r="G1721" s="86"/>
      <c r="H1721" s="87"/>
      <c r="I1721" s="86"/>
      <c r="J1721" s="87"/>
      <c r="K1721" s="86"/>
      <c r="L1721" s="86"/>
      <c r="M1721" s="87"/>
      <c r="N1721" s="86"/>
      <c r="O1721" s="87"/>
    </row>
    <row r="1722" spans="2:15">
      <c r="B1722" s="83"/>
      <c r="C1722" s="84"/>
      <c r="D1722" s="85"/>
      <c r="E1722" s="85"/>
      <c r="F1722" s="86"/>
      <c r="G1722" s="86"/>
      <c r="H1722" s="87"/>
      <c r="I1722" s="86"/>
      <c r="J1722" s="87"/>
      <c r="K1722" s="86"/>
      <c r="L1722" s="86"/>
      <c r="M1722" s="87"/>
      <c r="N1722" s="86"/>
      <c r="O1722" s="87"/>
    </row>
    <row r="1723" spans="2:15">
      <c r="B1723" s="83"/>
      <c r="C1723" s="84"/>
      <c r="D1723" s="85"/>
      <c r="E1723" s="85"/>
      <c r="F1723" s="86"/>
      <c r="G1723" s="86"/>
      <c r="H1723" s="87"/>
      <c r="I1723" s="86"/>
      <c r="J1723" s="87"/>
      <c r="K1723" s="86"/>
      <c r="L1723" s="86"/>
      <c r="M1723" s="87"/>
      <c r="N1723" s="86"/>
      <c r="O1723" s="87"/>
    </row>
    <row r="1724" spans="2:15">
      <c r="B1724" s="83"/>
      <c r="C1724" s="84"/>
      <c r="D1724" s="85"/>
      <c r="E1724" s="85"/>
      <c r="F1724" s="86"/>
      <c r="G1724" s="86"/>
      <c r="H1724" s="87"/>
      <c r="I1724" s="86"/>
      <c r="J1724" s="87"/>
      <c r="K1724" s="86"/>
      <c r="L1724" s="86"/>
      <c r="M1724" s="87"/>
      <c r="N1724" s="86"/>
      <c r="O1724" s="87"/>
    </row>
    <row r="1725" spans="2:15">
      <c r="B1725" s="83"/>
      <c r="C1725" s="84"/>
      <c r="D1725" s="85"/>
      <c r="E1725" s="85"/>
      <c r="F1725" s="86"/>
      <c r="G1725" s="86"/>
      <c r="H1725" s="87"/>
      <c r="I1725" s="86"/>
      <c r="J1725" s="87"/>
      <c r="K1725" s="86"/>
      <c r="L1725" s="86"/>
      <c r="M1725" s="87"/>
      <c r="N1725" s="86"/>
      <c r="O1725" s="87"/>
    </row>
    <row r="1726" spans="2:15">
      <c r="B1726" s="83"/>
      <c r="C1726" s="84"/>
      <c r="D1726" s="85"/>
      <c r="E1726" s="85"/>
      <c r="F1726" s="86"/>
      <c r="G1726" s="86"/>
      <c r="H1726" s="87"/>
      <c r="I1726" s="86"/>
      <c r="J1726" s="87"/>
      <c r="K1726" s="86"/>
      <c r="L1726" s="86"/>
      <c r="M1726" s="87"/>
      <c r="N1726" s="86"/>
      <c r="O1726" s="87"/>
    </row>
    <row r="1727" spans="2:15">
      <c r="B1727" s="83"/>
      <c r="C1727" s="84"/>
      <c r="D1727" s="85"/>
      <c r="E1727" s="85"/>
      <c r="F1727" s="86"/>
      <c r="G1727" s="86"/>
      <c r="H1727" s="87"/>
      <c r="I1727" s="86"/>
      <c r="J1727" s="87"/>
      <c r="K1727" s="86"/>
      <c r="L1727" s="86"/>
      <c r="M1727" s="87"/>
      <c r="N1727" s="86"/>
      <c r="O1727" s="87"/>
    </row>
    <row r="1728" spans="2:15">
      <c r="B1728" s="83"/>
      <c r="C1728" s="84"/>
      <c r="D1728" s="85"/>
      <c r="E1728" s="85"/>
      <c r="F1728" s="86"/>
      <c r="G1728" s="86"/>
      <c r="H1728" s="87"/>
      <c r="I1728" s="86"/>
      <c r="J1728" s="87"/>
      <c r="K1728" s="86"/>
      <c r="L1728" s="86"/>
      <c r="M1728" s="87"/>
      <c r="N1728" s="86"/>
      <c r="O1728" s="87"/>
    </row>
    <row r="1729" spans="2:15">
      <c r="B1729" s="83"/>
      <c r="C1729" s="84"/>
      <c r="D1729" s="85"/>
      <c r="E1729" s="85"/>
      <c r="F1729" s="86"/>
      <c r="G1729" s="86"/>
      <c r="H1729" s="87"/>
      <c r="I1729" s="86"/>
      <c r="J1729" s="87"/>
      <c r="K1729" s="86"/>
      <c r="L1729" s="86"/>
      <c r="M1729" s="87"/>
      <c r="N1729" s="86"/>
      <c r="O1729" s="87"/>
    </row>
    <row r="1730" spans="2:15">
      <c r="B1730" s="83"/>
      <c r="C1730" s="84"/>
      <c r="D1730" s="85"/>
      <c r="E1730" s="85"/>
      <c r="F1730" s="86"/>
      <c r="G1730" s="86"/>
      <c r="H1730" s="87"/>
      <c r="I1730" s="86"/>
      <c r="J1730" s="87"/>
      <c r="K1730" s="86"/>
      <c r="L1730" s="86"/>
      <c r="M1730" s="87"/>
      <c r="N1730" s="86"/>
      <c r="O1730" s="87"/>
    </row>
    <row r="1731" spans="2:15">
      <c r="B1731" s="83"/>
      <c r="C1731" s="84"/>
      <c r="D1731" s="85"/>
      <c r="E1731" s="85"/>
      <c r="F1731" s="86"/>
      <c r="G1731" s="86"/>
      <c r="H1731" s="87"/>
      <c r="I1731" s="86"/>
      <c r="J1731" s="87"/>
      <c r="K1731" s="86"/>
      <c r="L1731" s="86"/>
      <c r="M1731" s="87"/>
      <c r="N1731" s="86"/>
      <c r="O1731" s="87"/>
    </row>
    <row r="1732" spans="2:15">
      <c r="B1732" s="83"/>
      <c r="C1732" s="84"/>
      <c r="D1732" s="85"/>
      <c r="E1732" s="85"/>
      <c r="F1732" s="86"/>
      <c r="G1732" s="86"/>
      <c r="H1732" s="87"/>
      <c r="I1732" s="86"/>
      <c r="J1732" s="87"/>
      <c r="K1732" s="86"/>
      <c r="L1732" s="86"/>
      <c r="M1732" s="87"/>
      <c r="N1732" s="86"/>
      <c r="O1732" s="87"/>
    </row>
    <row r="1733" spans="2:15">
      <c r="B1733" s="83"/>
      <c r="C1733" s="84"/>
      <c r="D1733" s="85"/>
      <c r="E1733" s="85"/>
      <c r="F1733" s="86"/>
      <c r="G1733" s="86"/>
      <c r="H1733" s="87"/>
      <c r="I1733" s="86"/>
      <c r="J1733" s="87"/>
      <c r="K1733" s="86"/>
      <c r="L1733" s="86"/>
      <c r="M1733" s="87"/>
      <c r="N1733" s="86"/>
      <c r="O1733" s="87"/>
    </row>
    <row r="1734" spans="2:15">
      <c r="B1734" s="83"/>
      <c r="C1734" s="84"/>
      <c r="D1734" s="85"/>
      <c r="E1734" s="85"/>
      <c r="F1734" s="86"/>
      <c r="G1734" s="86"/>
      <c r="H1734" s="87"/>
      <c r="I1734" s="86"/>
      <c r="J1734" s="87"/>
      <c r="K1734" s="86"/>
      <c r="L1734" s="86"/>
      <c r="M1734" s="87"/>
      <c r="N1734" s="86"/>
      <c r="O1734" s="87"/>
    </row>
    <row r="1735" spans="2:15">
      <c r="B1735" s="83"/>
      <c r="C1735" s="84"/>
      <c r="D1735" s="85"/>
      <c r="E1735" s="85"/>
      <c r="F1735" s="86"/>
      <c r="G1735" s="86"/>
      <c r="H1735" s="87"/>
      <c r="I1735" s="86"/>
      <c r="J1735" s="87"/>
      <c r="K1735" s="86"/>
      <c r="L1735" s="86"/>
      <c r="M1735" s="87"/>
      <c r="N1735" s="86"/>
      <c r="O1735" s="87"/>
    </row>
    <row r="1736" spans="2:15">
      <c r="B1736" s="83"/>
      <c r="C1736" s="84"/>
      <c r="D1736" s="85"/>
      <c r="E1736" s="85"/>
      <c r="F1736" s="86"/>
      <c r="G1736" s="86"/>
      <c r="H1736" s="87"/>
      <c r="I1736" s="86"/>
      <c r="J1736" s="87"/>
      <c r="K1736" s="86"/>
      <c r="L1736" s="86"/>
      <c r="M1736" s="87"/>
      <c r="N1736" s="86"/>
      <c r="O1736" s="87"/>
    </row>
    <row r="1737" spans="2:15">
      <c r="B1737" s="83"/>
      <c r="C1737" s="84"/>
      <c r="D1737" s="85"/>
      <c r="E1737" s="85"/>
      <c r="F1737" s="86"/>
      <c r="G1737" s="86"/>
      <c r="H1737" s="87"/>
      <c r="I1737" s="86"/>
      <c r="J1737" s="87"/>
      <c r="K1737" s="86"/>
      <c r="L1737" s="86"/>
      <c r="M1737" s="87"/>
      <c r="N1737" s="86"/>
      <c r="O1737" s="87"/>
    </row>
    <row r="1738" spans="2:15">
      <c r="B1738" s="83"/>
      <c r="C1738" s="84"/>
      <c r="D1738" s="85"/>
      <c r="E1738" s="85"/>
      <c r="F1738" s="86"/>
      <c r="G1738" s="86"/>
      <c r="H1738" s="87"/>
      <c r="I1738" s="86"/>
      <c r="J1738" s="87"/>
      <c r="K1738" s="86"/>
      <c r="L1738" s="86"/>
      <c r="M1738" s="87"/>
      <c r="N1738" s="86"/>
      <c r="O1738" s="87"/>
    </row>
    <row r="1739" spans="2:15">
      <c r="B1739" s="83"/>
      <c r="C1739" s="84"/>
      <c r="D1739" s="85"/>
      <c r="E1739" s="85"/>
      <c r="F1739" s="86"/>
      <c r="G1739" s="86"/>
      <c r="H1739" s="87"/>
      <c r="I1739" s="86"/>
      <c r="J1739" s="87"/>
      <c r="K1739" s="86"/>
      <c r="L1739" s="86"/>
      <c r="M1739" s="87"/>
      <c r="N1739" s="86"/>
      <c r="O1739" s="87"/>
    </row>
    <row r="1740" spans="2:15">
      <c r="B1740" s="83"/>
      <c r="C1740" s="84"/>
      <c r="D1740" s="85"/>
      <c r="E1740" s="85"/>
      <c r="F1740" s="86"/>
      <c r="G1740" s="86"/>
      <c r="H1740" s="87"/>
      <c r="I1740" s="86"/>
      <c r="J1740" s="87"/>
      <c r="K1740" s="86"/>
      <c r="L1740" s="86"/>
      <c r="M1740" s="87"/>
      <c r="N1740" s="86"/>
      <c r="O1740" s="87"/>
    </row>
    <row r="1741" spans="2:15">
      <c r="B1741" s="83"/>
      <c r="C1741" s="84"/>
      <c r="D1741" s="85"/>
      <c r="E1741" s="85"/>
      <c r="F1741" s="86"/>
      <c r="G1741" s="86"/>
      <c r="H1741" s="87"/>
      <c r="I1741" s="86"/>
      <c r="J1741" s="87"/>
      <c r="K1741" s="86"/>
      <c r="L1741" s="86"/>
      <c r="M1741" s="87"/>
      <c r="N1741" s="86"/>
      <c r="O1741" s="87"/>
    </row>
    <row r="1742" spans="2:15">
      <c r="B1742" s="83"/>
      <c r="C1742" s="84"/>
      <c r="D1742" s="85"/>
      <c r="E1742" s="85"/>
      <c r="F1742" s="86"/>
      <c r="G1742" s="86"/>
      <c r="H1742" s="87"/>
      <c r="I1742" s="86"/>
      <c r="J1742" s="87"/>
      <c r="K1742" s="86"/>
      <c r="L1742" s="86"/>
      <c r="M1742" s="87"/>
      <c r="N1742" s="86"/>
      <c r="O1742" s="87"/>
    </row>
    <row r="1743" spans="2:15">
      <c r="B1743" s="83"/>
      <c r="C1743" s="84"/>
      <c r="D1743" s="85"/>
      <c r="E1743" s="85"/>
      <c r="F1743" s="86"/>
      <c r="G1743" s="86"/>
      <c r="H1743" s="87"/>
      <c r="I1743" s="86"/>
      <c r="J1743" s="87"/>
      <c r="K1743" s="86"/>
      <c r="L1743" s="86"/>
      <c r="M1743" s="87"/>
      <c r="N1743" s="86"/>
      <c r="O1743" s="87"/>
    </row>
    <row r="1744" spans="2:15">
      <c r="B1744" s="83"/>
      <c r="C1744" s="84"/>
      <c r="D1744" s="85"/>
      <c r="E1744" s="85"/>
      <c r="F1744" s="86"/>
      <c r="G1744" s="86"/>
      <c r="H1744" s="87"/>
      <c r="I1744" s="86"/>
      <c r="J1744" s="87"/>
      <c r="K1744" s="86"/>
      <c r="L1744" s="86"/>
      <c r="M1744" s="87"/>
      <c r="N1744" s="86"/>
      <c r="O1744" s="87"/>
    </row>
    <row r="1745" spans="2:15">
      <c r="B1745" s="83"/>
      <c r="C1745" s="84"/>
      <c r="D1745" s="85"/>
      <c r="E1745" s="85"/>
      <c r="F1745" s="86"/>
      <c r="G1745" s="86"/>
      <c r="H1745" s="87"/>
      <c r="I1745" s="86"/>
      <c r="J1745" s="87"/>
      <c r="K1745" s="86"/>
      <c r="L1745" s="86"/>
      <c r="M1745" s="87"/>
      <c r="N1745" s="86"/>
      <c r="O1745" s="87"/>
    </row>
    <row r="1746" spans="2:15">
      <c r="B1746" s="83"/>
      <c r="C1746" s="84"/>
      <c r="D1746" s="85"/>
      <c r="E1746" s="85"/>
      <c r="F1746" s="86"/>
      <c r="G1746" s="86"/>
      <c r="H1746" s="87"/>
      <c r="I1746" s="86"/>
      <c r="J1746" s="87"/>
      <c r="K1746" s="86"/>
      <c r="L1746" s="86"/>
      <c r="M1746" s="87"/>
      <c r="N1746" s="86"/>
      <c r="O1746" s="87"/>
    </row>
    <row r="1747" spans="2:15">
      <c r="B1747" s="83"/>
      <c r="C1747" s="84"/>
      <c r="D1747" s="85"/>
      <c r="E1747" s="85"/>
      <c r="F1747" s="86"/>
      <c r="G1747" s="86"/>
      <c r="H1747" s="87"/>
      <c r="I1747" s="86"/>
      <c r="J1747" s="87"/>
      <c r="K1747" s="86"/>
      <c r="L1747" s="86"/>
      <c r="M1747" s="87"/>
      <c r="N1747" s="86"/>
      <c r="O1747" s="87"/>
    </row>
    <row r="1748" spans="2:15">
      <c r="B1748" s="83"/>
      <c r="C1748" s="84"/>
      <c r="D1748" s="85"/>
      <c r="E1748" s="85"/>
      <c r="F1748" s="86"/>
      <c r="G1748" s="86"/>
      <c r="H1748" s="87"/>
      <c r="I1748" s="86"/>
      <c r="J1748" s="87"/>
      <c r="K1748" s="86"/>
      <c r="L1748" s="86"/>
      <c r="M1748" s="87"/>
      <c r="N1748" s="86"/>
      <c r="O1748" s="87"/>
    </row>
    <row r="1749" spans="2:15">
      <c r="B1749" s="83"/>
      <c r="C1749" s="84"/>
      <c r="D1749" s="85"/>
      <c r="E1749" s="85"/>
      <c r="F1749" s="86"/>
      <c r="G1749" s="86"/>
      <c r="H1749" s="87"/>
      <c r="I1749" s="86"/>
      <c r="J1749" s="87"/>
      <c r="K1749" s="86"/>
      <c r="L1749" s="86"/>
      <c r="M1749" s="87"/>
      <c r="N1749" s="86"/>
      <c r="O1749" s="87"/>
    </row>
    <row r="1750" spans="2:15">
      <c r="B1750" s="83"/>
      <c r="C1750" s="84"/>
      <c r="D1750" s="85"/>
      <c r="E1750" s="85"/>
      <c r="F1750" s="86"/>
      <c r="G1750" s="86"/>
      <c r="H1750" s="87"/>
      <c r="I1750" s="86"/>
      <c r="J1750" s="87"/>
      <c r="K1750" s="86"/>
      <c r="L1750" s="86"/>
      <c r="M1750" s="87"/>
      <c r="N1750" s="86"/>
      <c r="O1750" s="87"/>
    </row>
    <row r="1751" spans="2:15">
      <c r="B1751" s="83"/>
      <c r="C1751" s="84"/>
      <c r="D1751" s="85"/>
      <c r="E1751" s="85"/>
      <c r="F1751" s="86"/>
      <c r="G1751" s="86"/>
      <c r="H1751" s="87"/>
      <c r="I1751" s="86"/>
      <c r="J1751" s="87"/>
      <c r="K1751" s="86"/>
      <c r="L1751" s="86"/>
      <c r="M1751" s="87"/>
      <c r="N1751" s="86"/>
      <c r="O1751" s="87"/>
    </row>
    <row r="1752" spans="2:15">
      <c r="B1752" s="83"/>
      <c r="C1752" s="84"/>
      <c r="D1752" s="85"/>
      <c r="E1752" s="85"/>
      <c r="F1752" s="86"/>
      <c r="G1752" s="86"/>
      <c r="H1752" s="87"/>
      <c r="I1752" s="86"/>
      <c r="J1752" s="87"/>
      <c r="K1752" s="86"/>
      <c r="L1752" s="86"/>
      <c r="M1752" s="87"/>
      <c r="N1752" s="86"/>
      <c r="O1752" s="87"/>
    </row>
    <row r="1753" spans="2:15">
      <c r="B1753" s="83"/>
      <c r="C1753" s="84"/>
      <c r="D1753" s="85"/>
      <c r="E1753" s="85"/>
      <c r="F1753" s="86"/>
      <c r="G1753" s="86"/>
      <c r="H1753" s="87"/>
      <c r="I1753" s="86"/>
      <c r="J1753" s="87"/>
      <c r="K1753" s="86"/>
      <c r="L1753" s="86"/>
      <c r="M1753" s="87"/>
      <c r="N1753" s="86"/>
      <c r="O1753" s="87"/>
    </row>
    <row r="1754" spans="2:15">
      <c r="B1754" s="83"/>
      <c r="C1754" s="84"/>
      <c r="D1754" s="85"/>
      <c r="E1754" s="85"/>
      <c r="F1754" s="86"/>
      <c r="G1754" s="86"/>
      <c r="H1754" s="87"/>
      <c r="I1754" s="86"/>
      <c r="J1754" s="87"/>
      <c r="K1754" s="86"/>
      <c r="L1754" s="86"/>
      <c r="M1754" s="87"/>
      <c r="N1754" s="86"/>
      <c r="O1754" s="87"/>
    </row>
    <row r="1755" spans="2:15">
      <c r="B1755" s="83"/>
      <c r="C1755" s="84"/>
      <c r="D1755" s="85"/>
      <c r="E1755" s="85"/>
      <c r="F1755" s="86"/>
      <c r="G1755" s="86"/>
      <c r="H1755" s="87"/>
      <c r="I1755" s="86"/>
      <c r="J1755" s="87"/>
      <c r="K1755" s="86"/>
      <c r="L1755" s="86"/>
      <c r="M1755" s="87"/>
      <c r="N1755" s="86"/>
      <c r="O1755" s="87"/>
    </row>
    <row r="1756" spans="2:15">
      <c r="B1756" s="83"/>
      <c r="C1756" s="84"/>
      <c r="D1756" s="85"/>
      <c r="E1756" s="85"/>
      <c r="F1756" s="86"/>
      <c r="G1756" s="86"/>
      <c r="H1756" s="87"/>
      <c r="I1756" s="86"/>
      <c r="J1756" s="87"/>
      <c r="K1756" s="86"/>
      <c r="L1756" s="86"/>
      <c r="M1756" s="87"/>
      <c r="N1756" s="86"/>
      <c r="O1756" s="87"/>
    </row>
    <row r="1757" spans="2:15">
      <c r="B1757" s="83"/>
      <c r="C1757" s="84"/>
      <c r="D1757" s="85"/>
      <c r="E1757" s="85"/>
      <c r="F1757" s="86"/>
      <c r="G1757" s="86"/>
      <c r="H1757" s="87"/>
      <c r="I1757" s="86"/>
      <c r="J1757" s="87"/>
      <c r="K1757" s="86"/>
      <c r="L1757" s="86"/>
      <c r="M1757" s="87"/>
      <c r="N1757" s="86"/>
      <c r="O1757" s="87"/>
    </row>
    <row r="1758" spans="2:15">
      <c r="B1758" s="83"/>
      <c r="C1758" s="84"/>
      <c r="D1758" s="85"/>
      <c r="E1758" s="85"/>
      <c r="F1758" s="86"/>
      <c r="G1758" s="86"/>
      <c r="H1758" s="87"/>
      <c r="I1758" s="86"/>
      <c r="J1758" s="87"/>
      <c r="K1758" s="86"/>
      <c r="L1758" s="86"/>
      <c r="M1758" s="87"/>
      <c r="N1758" s="86"/>
      <c r="O1758" s="87"/>
    </row>
    <row r="1759" spans="2:15">
      <c r="B1759" s="83"/>
      <c r="C1759" s="84"/>
      <c r="D1759" s="85"/>
      <c r="E1759" s="85"/>
      <c r="F1759" s="86"/>
      <c r="G1759" s="86"/>
      <c r="H1759" s="87"/>
      <c r="I1759" s="86"/>
      <c r="J1759" s="87"/>
      <c r="K1759" s="86"/>
      <c r="L1759" s="86"/>
      <c r="M1759" s="87"/>
      <c r="N1759" s="86"/>
      <c r="O1759" s="87"/>
    </row>
    <row r="1760" spans="2:15">
      <c r="B1760" s="83"/>
      <c r="C1760" s="84"/>
      <c r="D1760" s="85"/>
      <c r="E1760" s="85"/>
      <c r="F1760" s="86"/>
      <c r="G1760" s="86"/>
      <c r="H1760" s="87"/>
      <c r="I1760" s="86"/>
      <c r="J1760" s="87"/>
      <c r="K1760" s="86"/>
      <c r="L1760" s="86"/>
      <c r="M1760" s="87"/>
      <c r="N1760" s="86"/>
      <c r="O1760" s="87"/>
    </row>
    <row r="1761" spans="2:15">
      <c r="B1761" s="83"/>
      <c r="C1761" s="84"/>
      <c r="D1761" s="85"/>
      <c r="E1761" s="85"/>
      <c r="F1761" s="86"/>
      <c r="G1761" s="86"/>
      <c r="H1761" s="87"/>
      <c r="I1761" s="86"/>
      <c r="J1761" s="87"/>
      <c r="K1761" s="86"/>
      <c r="L1761" s="86"/>
      <c r="M1761" s="87"/>
      <c r="N1761" s="86"/>
      <c r="O1761" s="87"/>
    </row>
    <row r="1762" spans="2:15">
      <c r="B1762" s="83"/>
      <c r="C1762" s="84"/>
      <c r="D1762" s="85"/>
      <c r="E1762" s="85"/>
      <c r="F1762" s="86"/>
      <c r="G1762" s="86"/>
      <c r="H1762" s="87"/>
      <c r="I1762" s="86"/>
      <c r="J1762" s="87"/>
      <c r="K1762" s="86"/>
      <c r="L1762" s="86"/>
      <c r="M1762" s="87"/>
      <c r="N1762" s="86"/>
      <c r="O1762" s="87"/>
    </row>
    <row r="1763" spans="2:15">
      <c r="B1763" s="83"/>
      <c r="C1763" s="84"/>
      <c r="D1763" s="85"/>
      <c r="E1763" s="85"/>
      <c r="F1763" s="86"/>
      <c r="G1763" s="86"/>
      <c r="H1763" s="87"/>
      <c r="I1763" s="86"/>
      <c r="J1763" s="87"/>
      <c r="K1763" s="86"/>
      <c r="L1763" s="86"/>
      <c r="M1763" s="87"/>
      <c r="N1763" s="86"/>
      <c r="O1763" s="87"/>
    </row>
    <row r="1764" spans="2:15">
      <c r="B1764" s="83"/>
      <c r="C1764" s="84"/>
      <c r="D1764" s="85"/>
      <c r="E1764" s="85"/>
      <c r="F1764" s="86"/>
      <c r="G1764" s="86"/>
      <c r="H1764" s="87"/>
      <c r="I1764" s="86"/>
      <c r="J1764" s="87"/>
      <c r="K1764" s="86"/>
      <c r="L1764" s="86"/>
      <c r="M1764" s="87"/>
      <c r="N1764" s="86"/>
      <c r="O1764" s="87"/>
    </row>
    <row r="1765" spans="2:15">
      <c r="B1765" s="83"/>
      <c r="C1765" s="84"/>
      <c r="D1765" s="85"/>
      <c r="E1765" s="85"/>
      <c r="F1765" s="86"/>
      <c r="G1765" s="86"/>
      <c r="H1765" s="87"/>
      <c r="I1765" s="86"/>
      <c r="J1765" s="87"/>
      <c r="K1765" s="86"/>
      <c r="L1765" s="86"/>
      <c r="M1765" s="87"/>
      <c r="N1765" s="86"/>
      <c r="O1765" s="87"/>
    </row>
    <row r="1766" spans="2:15">
      <c r="B1766" s="83"/>
      <c r="C1766" s="84"/>
      <c r="D1766" s="85"/>
      <c r="E1766" s="85"/>
      <c r="F1766" s="86"/>
      <c r="G1766" s="86"/>
      <c r="H1766" s="87"/>
      <c r="I1766" s="86"/>
      <c r="J1766" s="87"/>
      <c r="K1766" s="86"/>
      <c r="L1766" s="86"/>
      <c r="M1766" s="87"/>
      <c r="N1766" s="86"/>
      <c r="O1766" s="87"/>
    </row>
    <row r="1767" spans="2:15">
      <c r="B1767" s="83"/>
      <c r="C1767" s="84"/>
      <c r="D1767" s="85"/>
      <c r="E1767" s="85"/>
      <c r="F1767" s="86"/>
      <c r="G1767" s="86"/>
      <c r="H1767" s="87"/>
      <c r="I1767" s="86"/>
      <c r="J1767" s="87"/>
      <c r="K1767" s="86"/>
      <c r="L1767" s="86"/>
      <c r="M1767" s="87"/>
      <c r="N1767" s="86"/>
      <c r="O1767" s="87"/>
    </row>
    <row r="1768" spans="2:15">
      <c r="B1768" s="83"/>
      <c r="C1768" s="84"/>
      <c r="D1768" s="85"/>
      <c r="E1768" s="85"/>
      <c r="F1768" s="86"/>
      <c r="G1768" s="86"/>
      <c r="H1768" s="87"/>
      <c r="I1768" s="86"/>
      <c r="J1768" s="87"/>
      <c r="K1768" s="86"/>
      <c r="L1768" s="86"/>
      <c r="M1768" s="87"/>
      <c r="N1768" s="86"/>
      <c r="O1768" s="87"/>
    </row>
    <row r="1769" spans="2:15">
      <c r="B1769" s="83"/>
      <c r="C1769" s="84"/>
      <c r="D1769" s="85"/>
      <c r="E1769" s="85"/>
      <c r="F1769" s="86"/>
      <c r="G1769" s="86"/>
      <c r="H1769" s="87"/>
      <c r="I1769" s="86"/>
      <c r="J1769" s="87"/>
      <c r="K1769" s="86"/>
      <c r="L1769" s="86"/>
      <c r="M1769" s="87"/>
      <c r="N1769" s="86"/>
      <c r="O1769" s="87"/>
    </row>
    <row r="1770" spans="2:15">
      <c r="B1770" s="83"/>
      <c r="C1770" s="84"/>
      <c r="D1770" s="85"/>
      <c r="E1770" s="85"/>
      <c r="F1770" s="86"/>
      <c r="G1770" s="86"/>
      <c r="H1770" s="87"/>
      <c r="I1770" s="86"/>
      <c r="J1770" s="87"/>
      <c r="K1770" s="86"/>
      <c r="L1770" s="86"/>
      <c r="M1770" s="87"/>
      <c r="N1770" s="86"/>
      <c r="O1770" s="87"/>
    </row>
    <row r="1771" spans="2:15">
      <c r="B1771" s="83"/>
      <c r="C1771" s="84"/>
      <c r="D1771" s="85"/>
      <c r="E1771" s="85"/>
      <c r="F1771" s="86"/>
      <c r="G1771" s="86"/>
      <c r="H1771" s="87"/>
      <c r="I1771" s="86"/>
      <c r="J1771" s="87"/>
      <c r="K1771" s="86"/>
      <c r="L1771" s="86"/>
      <c r="M1771" s="87"/>
      <c r="N1771" s="86"/>
      <c r="O1771" s="87"/>
    </row>
    <row r="1772" spans="2:15">
      <c r="B1772" s="83"/>
      <c r="C1772" s="84"/>
      <c r="D1772" s="85"/>
      <c r="E1772" s="85"/>
      <c r="F1772" s="86"/>
      <c r="G1772" s="86"/>
      <c r="H1772" s="87"/>
      <c r="I1772" s="86"/>
      <c r="J1772" s="87"/>
      <c r="K1772" s="86"/>
      <c r="L1772" s="86"/>
      <c r="M1772" s="87"/>
      <c r="N1772" s="86"/>
      <c r="O1772" s="87"/>
    </row>
    <row r="1773" spans="2:15">
      <c r="B1773" s="83"/>
      <c r="C1773" s="84"/>
      <c r="D1773" s="85"/>
      <c r="E1773" s="85"/>
      <c r="F1773" s="86"/>
      <c r="G1773" s="86"/>
      <c r="H1773" s="87"/>
      <c r="I1773" s="86"/>
      <c r="J1773" s="87"/>
      <c r="K1773" s="86"/>
      <c r="L1773" s="86"/>
      <c r="M1773" s="87"/>
      <c r="N1773" s="86"/>
      <c r="O1773" s="87"/>
    </row>
    <row r="1774" spans="2:15">
      <c r="B1774" s="83"/>
      <c r="C1774" s="84"/>
      <c r="D1774" s="85"/>
      <c r="E1774" s="85"/>
      <c r="F1774" s="86"/>
      <c r="G1774" s="86"/>
      <c r="H1774" s="87"/>
      <c r="I1774" s="86"/>
      <c r="J1774" s="87"/>
      <c r="K1774" s="86"/>
      <c r="L1774" s="86"/>
      <c r="M1774" s="87"/>
      <c r="N1774" s="86"/>
      <c r="O1774" s="87"/>
    </row>
    <row r="1775" spans="2:15">
      <c r="B1775" s="83"/>
      <c r="C1775" s="84"/>
      <c r="D1775" s="85"/>
      <c r="E1775" s="85"/>
      <c r="F1775" s="86"/>
      <c r="G1775" s="86"/>
      <c r="H1775" s="87"/>
      <c r="I1775" s="86"/>
      <c r="J1775" s="87"/>
      <c r="K1775" s="86"/>
      <c r="L1775" s="86"/>
      <c r="M1775" s="87"/>
      <c r="N1775" s="86"/>
      <c r="O1775" s="87"/>
    </row>
    <row r="1776" spans="2:15">
      <c r="B1776" s="83"/>
      <c r="C1776" s="84"/>
      <c r="D1776" s="85"/>
      <c r="E1776" s="85"/>
      <c r="F1776" s="86"/>
      <c r="G1776" s="86"/>
      <c r="H1776" s="87"/>
      <c r="I1776" s="86"/>
      <c r="J1776" s="87"/>
      <c r="K1776" s="86"/>
      <c r="L1776" s="86"/>
      <c r="M1776" s="87"/>
      <c r="N1776" s="86"/>
      <c r="O1776" s="87"/>
    </row>
    <row r="1777" spans="2:15">
      <c r="B1777" s="83"/>
      <c r="C1777" s="84"/>
      <c r="D1777" s="85"/>
      <c r="E1777" s="85"/>
      <c r="F1777" s="86"/>
      <c r="G1777" s="86"/>
      <c r="H1777" s="87"/>
      <c r="I1777" s="86"/>
      <c r="J1777" s="87"/>
      <c r="K1777" s="86"/>
      <c r="L1777" s="86"/>
      <c r="M1777" s="87"/>
      <c r="N1777" s="86"/>
      <c r="O1777" s="87"/>
    </row>
    <row r="1778" spans="2:15">
      <c r="B1778" s="83"/>
      <c r="C1778" s="84"/>
      <c r="D1778" s="85"/>
      <c r="E1778" s="85"/>
      <c r="F1778" s="86"/>
      <c r="G1778" s="86"/>
      <c r="H1778" s="87"/>
      <c r="I1778" s="86"/>
      <c r="J1778" s="87"/>
      <c r="K1778" s="86"/>
      <c r="L1778" s="86"/>
      <c r="M1778" s="87"/>
      <c r="N1778" s="86"/>
      <c r="O1778" s="87"/>
    </row>
    <row r="1779" spans="2:15">
      <c r="B1779" s="83"/>
      <c r="C1779" s="84"/>
      <c r="D1779" s="85"/>
      <c r="E1779" s="85"/>
      <c r="F1779" s="86"/>
      <c r="G1779" s="86"/>
      <c r="H1779" s="87"/>
      <c r="I1779" s="86"/>
      <c r="J1779" s="87"/>
      <c r="K1779" s="86"/>
      <c r="L1779" s="86"/>
      <c r="M1779" s="87"/>
      <c r="N1779" s="86"/>
      <c r="O1779" s="87"/>
    </row>
    <row r="1780" spans="2:15">
      <c r="B1780" s="83"/>
      <c r="C1780" s="84"/>
      <c r="D1780" s="85"/>
      <c r="E1780" s="85"/>
      <c r="F1780" s="86"/>
      <c r="G1780" s="86"/>
      <c r="H1780" s="87"/>
      <c r="I1780" s="86"/>
      <c r="J1780" s="87"/>
      <c r="K1780" s="86"/>
      <c r="L1780" s="86"/>
      <c r="M1780" s="87"/>
      <c r="N1780" s="86"/>
      <c r="O1780" s="87"/>
    </row>
    <row r="1781" spans="2:15">
      <c r="B1781" s="83"/>
      <c r="C1781" s="84"/>
      <c r="D1781" s="85"/>
      <c r="E1781" s="85"/>
      <c r="F1781" s="86"/>
      <c r="G1781" s="86"/>
      <c r="H1781" s="87"/>
      <c r="I1781" s="86"/>
      <c r="J1781" s="87"/>
      <c r="K1781" s="86"/>
      <c r="L1781" s="86"/>
      <c r="M1781" s="87"/>
      <c r="N1781" s="86"/>
      <c r="O1781" s="87"/>
    </row>
    <row r="1782" spans="2:15">
      <c r="B1782" s="83"/>
      <c r="C1782" s="84"/>
      <c r="D1782" s="85"/>
      <c r="E1782" s="85"/>
      <c r="F1782" s="86"/>
      <c r="G1782" s="86"/>
      <c r="H1782" s="87"/>
      <c r="I1782" s="86"/>
      <c r="J1782" s="87"/>
      <c r="K1782" s="86"/>
      <c r="L1782" s="86"/>
      <c r="M1782" s="87"/>
      <c r="N1782" s="86"/>
      <c r="O1782" s="87"/>
    </row>
    <row r="1783" spans="2:15">
      <c r="B1783" s="83"/>
      <c r="C1783" s="84"/>
      <c r="D1783" s="85"/>
      <c r="E1783" s="85"/>
      <c r="F1783" s="86"/>
      <c r="G1783" s="86"/>
      <c r="H1783" s="87"/>
      <c r="I1783" s="86"/>
      <c r="J1783" s="87"/>
      <c r="K1783" s="86"/>
      <c r="L1783" s="86"/>
      <c r="M1783" s="87"/>
      <c r="N1783" s="86"/>
      <c r="O1783" s="87"/>
    </row>
    <row r="1784" spans="2:15">
      <c r="B1784" s="83"/>
      <c r="C1784" s="84"/>
      <c r="D1784" s="85"/>
      <c r="E1784" s="85"/>
      <c r="F1784" s="86"/>
      <c r="G1784" s="86"/>
      <c r="H1784" s="87"/>
      <c r="I1784" s="86"/>
      <c r="J1784" s="87"/>
      <c r="K1784" s="86"/>
      <c r="L1784" s="86"/>
      <c r="M1784" s="87"/>
      <c r="N1784" s="86"/>
      <c r="O1784" s="87"/>
    </row>
    <row r="1785" spans="2:15">
      <c r="B1785" s="83"/>
      <c r="C1785" s="84"/>
      <c r="D1785" s="85"/>
      <c r="E1785" s="85"/>
      <c r="F1785" s="86"/>
      <c r="G1785" s="86"/>
      <c r="H1785" s="87"/>
      <c r="I1785" s="86"/>
      <c r="J1785" s="87"/>
      <c r="K1785" s="86"/>
      <c r="L1785" s="86"/>
      <c r="M1785" s="87"/>
      <c r="N1785" s="86"/>
      <c r="O1785" s="87"/>
    </row>
    <row r="1786" spans="2:15">
      <c r="B1786" s="83"/>
      <c r="C1786" s="84"/>
      <c r="D1786" s="85"/>
      <c r="E1786" s="85"/>
      <c r="F1786" s="86"/>
      <c r="G1786" s="86"/>
      <c r="H1786" s="87"/>
      <c r="I1786" s="86"/>
      <c r="J1786" s="87"/>
      <c r="K1786" s="86"/>
      <c r="L1786" s="86"/>
      <c r="M1786" s="87"/>
      <c r="N1786" s="86"/>
      <c r="O1786" s="87"/>
    </row>
    <row r="1787" spans="2:15">
      <c r="B1787" s="83"/>
      <c r="C1787" s="84"/>
      <c r="D1787" s="85"/>
      <c r="E1787" s="85"/>
      <c r="F1787" s="86"/>
      <c r="G1787" s="86"/>
      <c r="H1787" s="87"/>
      <c r="I1787" s="86"/>
      <c r="J1787" s="87"/>
      <c r="K1787" s="86"/>
      <c r="L1787" s="86"/>
      <c r="M1787" s="87"/>
      <c r="N1787" s="86"/>
      <c r="O1787" s="87"/>
    </row>
    <row r="1788" spans="2:15">
      <c r="B1788" s="83"/>
      <c r="C1788" s="84"/>
      <c r="D1788" s="85"/>
      <c r="E1788" s="85"/>
      <c r="F1788" s="86"/>
      <c r="G1788" s="86"/>
      <c r="H1788" s="87"/>
      <c r="I1788" s="86"/>
      <c r="J1788" s="87"/>
      <c r="K1788" s="86"/>
      <c r="L1788" s="86"/>
      <c r="M1788" s="87"/>
      <c r="N1788" s="86"/>
      <c r="O1788" s="87"/>
    </row>
    <row r="1789" spans="2:15">
      <c r="B1789" s="83"/>
      <c r="C1789" s="84"/>
      <c r="D1789" s="85"/>
      <c r="E1789" s="85"/>
      <c r="F1789" s="86"/>
      <c r="G1789" s="86"/>
      <c r="H1789" s="87"/>
      <c r="I1789" s="86"/>
      <c r="J1789" s="87"/>
      <c r="K1789" s="86"/>
      <c r="L1789" s="86"/>
      <c r="M1789" s="87"/>
      <c r="N1789" s="86"/>
      <c r="O1789" s="87"/>
    </row>
    <row r="1790" spans="2:15">
      <c r="B1790" s="83"/>
      <c r="C1790" s="84"/>
      <c r="D1790" s="85"/>
      <c r="E1790" s="85"/>
      <c r="F1790" s="86"/>
      <c r="G1790" s="86"/>
      <c r="H1790" s="87"/>
      <c r="I1790" s="86"/>
      <c r="J1790" s="87"/>
      <c r="K1790" s="86"/>
      <c r="L1790" s="86"/>
      <c r="M1790" s="87"/>
      <c r="N1790" s="86"/>
      <c r="O1790" s="87"/>
    </row>
    <row r="1791" spans="2:15">
      <c r="B1791" s="83"/>
      <c r="C1791" s="84"/>
      <c r="D1791" s="85"/>
      <c r="E1791" s="85"/>
      <c r="F1791" s="86"/>
      <c r="G1791" s="86"/>
      <c r="H1791" s="87"/>
      <c r="I1791" s="86"/>
      <c r="J1791" s="87"/>
      <c r="K1791" s="86"/>
      <c r="L1791" s="86"/>
      <c r="M1791" s="87"/>
      <c r="N1791" s="86"/>
      <c r="O1791" s="87"/>
    </row>
    <row r="1792" spans="2:15">
      <c r="B1792" s="83"/>
      <c r="C1792" s="84"/>
      <c r="D1792" s="85"/>
      <c r="E1792" s="85"/>
      <c r="F1792" s="86"/>
      <c r="G1792" s="86"/>
      <c r="H1792" s="87"/>
      <c r="I1792" s="86"/>
      <c r="J1792" s="87"/>
      <c r="K1792" s="86"/>
      <c r="L1792" s="86"/>
      <c r="M1792" s="87"/>
      <c r="N1792" s="86"/>
      <c r="O1792" s="87"/>
    </row>
    <row r="1793" spans="2:15">
      <c r="B1793" s="83"/>
      <c r="C1793" s="84"/>
      <c r="D1793" s="85"/>
      <c r="E1793" s="85"/>
      <c r="F1793" s="86"/>
      <c r="G1793" s="86"/>
      <c r="H1793" s="87"/>
      <c r="I1793" s="86"/>
      <c r="J1793" s="87"/>
      <c r="K1793" s="86"/>
      <c r="L1793" s="86"/>
      <c r="M1793" s="87"/>
      <c r="N1793" s="86"/>
      <c r="O1793" s="87"/>
    </row>
    <row r="1794" spans="2:15">
      <c r="B1794" s="83"/>
      <c r="C1794" s="84"/>
      <c r="D1794" s="85"/>
      <c r="E1794" s="85"/>
      <c r="F1794" s="86"/>
      <c r="G1794" s="86"/>
      <c r="H1794" s="87"/>
      <c r="I1794" s="86"/>
      <c r="J1794" s="87"/>
      <c r="K1794" s="86"/>
      <c r="L1794" s="86"/>
      <c r="M1794" s="87"/>
      <c r="N1794" s="86"/>
      <c r="O1794" s="87"/>
    </row>
    <row r="1795" spans="2:15">
      <c r="B1795" s="83"/>
      <c r="C1795" s="84"/>
      <c r="D1795" s="85"/>
      <c r="E1795" s="85"/>
      <c r="F1795" s="86"/>
      <c r="G1795" s="86"/>
      <c r="H1795" s="87"/>
      <c r="I1795" s="86"/>
      <c r="J1795" s="87"/>
      <c r="K1795" s="86"/>
      <c r="L1795" s="86"/>
      <c r="M1795" s="87"/>
      <c r="N1795" s="86"/>
      <c r="O1795" s="87"/>
    </row>
    <row r="1796" spans="2:15">
      <c r="B1796" s="83"/>
      <c r="C1796" s="84"/>
      <c r="D1796" s="85"/>
      <c r="E1796" s="85"/>
      <c r="F1796" s="86"/>
      <c r="G1796" s="86"/>
      <c r="H1796" s="87"/>
      <c r="I1796" s="86"/>
      <c r="J1796" s="87"/>
      <c r="K1796" s="86"/>
      <c r="L1796" s="86"/>
      <c r="M1796" s="87"/>
      <c r="N1796" s="86"/>
      <c r="O1796" s="87"/>
    </row>
    <row r="1797" spans="2:15">
      <c r="B1797" s="83"/>
      <c r="C1797" s="84"/>
      <c r="D1797" s="85"/>
      <c r="E1797" s="85"/>
      <c r="F1797" s="86"/>
      <c r="G1797" s="86"/>
      <c r="H1797" s="87"/>
      <c r="I1797" s="86"/>
      <c r="J1797" s="87"/>
      <c r="K1797" s="86"/>
      <c r="L1797" s="86"/>
      <c r="M1797" s="87"/>
      <c r="N1797" s="86"/>
      <c r="O1797" s="87"/>
    </row>
    <row r="1798" spans="2:15">
      <c r="B1798" s="83"/>
      <c r="C1798" s="84"/>
      <c r="D1798" s="85"/>
      <c r="E1798" s="85"/>
      <c r="F1798" s="86"/>
      <c r="G1798" s="86"/>
      <c r="H1798" s="87"/>
      <c r="I1798" s="86"/>
      <c r="J1798" s="87"/>
      <c r="K1798" s="86"/>
      <c r="L1798" s="86"/>
      <c r="M1798" s="87"/>
      <c r="N1798" s="86"/>
      <c r="O1798" s="87"/>
    </row>
    <row r="1799" spans="2:15">
      <c r="B1799" s="83"/>
      <c r="C1799" s="84"/>
      <c r="D1799" s="85"/>
      <c r="E1799" s="85"/>
      <c r="F1799" s="86"/>
      <c r="G1799" s="86"/>
      <c r="H1799" s="87"/>
      <c r="I1799" s="86"/>
      <c r="J1799" s="87"/>
      <c r="K1799" s="86"/>
      <c r="L1799" s="86"/>
      <c r="M1799" s="87"/>
      <c r="N1799" s="86"/>
      <c r="O1799" s="87"/>
    </row>
    <row r="1800" spans="2:15">
      <c r="B1800" s="83"/>
      <c r="C1800" s="84"/>
      <c r="D1800" s="85"/>
      <c r="E1800" s="85"/>
      <c r="F1800" s="86"/>
      <c r="G1800" s="86"/>
      <c r="H1800" s="87"/>
      <c r="I1800" s="86"/>
      <c r="J1800" s="87"/>
      <c r="K1800" s="86"/>
      <c r="L1800" s="86"/>
      <c r="M1800" s="87"/>
      <c r="N1800" s="86"/>
      <c r="O1800" s="87"/>
    </row>
    <row r="1801" spans="2:15">
      <c r="B1801" s="83"/>
      <c r="C1801" s="84"/>
      <c r="D1801" s="85"/>
      <c r="E1801" s="85"/>
      <c r="F1801" s="86"/>
      <c r="G1801" s="86"/>
      <c r="H1801" s="87"/>
      <c r="I1801" s="86"/>
      <c r="J1801" s="87"/>
      <c r="K1801" s="86"/>
      <c r="L1801" s="86"/>
      <c r="M1801" s="87"/>
      <c r="N1801" s="86"/>
      <c r="O1801" s="87"/>
    </row>
    <row r="1802" spans="2:15">
      <c r="B1802" s="83"/>
      <c r="C1802" s="84"/>
      <c r="D1802" s="85"/>
      <c r="E1802" s="85"/>
      <c r="F1802" s="86"/>
      <c r="G1802" s="86"/>
      <c r="H1802" s="87"/>
      <c r="I1802" s="86"/>
      <c r="J1802" s="87"/>
      <c r="K1802" s="86"/>
      <c r="L1802" s="86"/>
      <c r="M1802" s="87"/>
      <c r="N1802" s="86"/>
      <c r="O1802" s="87"/>
    </row>
    <row r="1803" spans="2:15">
      <c r="B1803" s="83"/>
      <c r="C1803" s="84"/>
      <c r="D1803" s="85"/>
      <c r="E1803" s="85"/>
      <c r="F1803" s="86"/>
      <c r="G1803" s="86"/>
      <c r="H1803" s="87"/>
      <c r="I1803" s="86"/>
      <c r="J1803" s="87"/>
      <c r="K1803" s="86"/>
      <c r="L1803" s="86"/>
      <c r="M1803" s="87"/>
      <c r="N1803" s="86"/>
      <c r="O1803" s="87"/>
    </row>
    <row r="1804" spans="2:15">
      <c r="B1804" s="83"/>
      <c r="C1804" s="84"/>
      <c r="D1804" s="85"/>
      <c r="E1804" s="85"/>
      <c r="F1804" s="86"/>
      <c r="G1804" s="86"/>
      <c r="H1804" s="87"/>
      <c r="I1804" s="86"/>
      <c r="J1804" s="87"/>
      <c r="K1804" s="86"/>
      <c r="L1804" s="86"/>
      <c r="M1804" s="87"/>
      <c r="N1804" s="86"/>
      <c r="O1804" s="87"/>
    </row>
    <row r="1805" spans="2:15">
      <c r="B1805" s="83"/>
      <c r="C1805" s="84"/>
      <c r="D1805" s="85"/>
      <c r="E1805" s="85"/>
      <c r="F1805" s="86"/>
      <c r="G1805" s="86"/>
      <c r="H1805" s="87"/>
      <c r="I1805" s="86"/>
      <c r="J1805" s="87"/>
      <c r="K1805" s="86"/>
      <c r="L1805" s="86"/>
      <c r="M1805" s="87"/>
      <c r="N1805" s="86"/>
      <c r="O1805" s="87"/>
    </row>
    <row r="1806" spans="2:15">
      <c r="B1806" s="83"/>
      <c r="C1806" s="84"/>
      <c r="D1806" s="85"/>
      <c r="E1806" s="85"/>
      <c r="F1806" s="86"/>
      <c r="G1806" s="86"/>
      <c r="H1806" s="87"/>
      <c r="I1806" s="86"/>
      <c r="J1806" s="87"/>
      <c r="K1806" s="86"/>
      <c r="L1806" s="86"/>
      <c r="M1806" s="87"/>
      <c r="N1806" s="86"/>
      <c r="O1806" s="87"/>
    </row>
    <row r="1807" spans="2:15">
      <c r="B1807" s="83"/>
      <c r="C1807" s="84"/>
      <c r="D1807" s="85"/>
      <c r="E1807" s="85"/>
      <c r="F1807" s="86"/>
      <c r="G1807" s="86"/>
      <c r="H1807" s="87"/>
      <c r="I1807" s="86"/>
      <c r="J1807" s="87"/>
      <c r="K1807" s="86"/>
      <c r="L1807" s="86"/>
      <c r="M1807" s="87"/>
      <c r="N1807" s="86"/>
      <c r="O1807" s="87"/>
    </row>
    <row r="1808" spans="2:15">
      <c r="B1808" s="83"/>
      <c r="C1808" s="84"/>
      <c r="D1808" s="85"/>
      <c r="E1808" s="85"/>
      <c r="F1808" s="86"/>
      <c r="G1808" s="86"/>
      <c r="H1808" s="87"/>
      <c r="I1808" s="86"/>
      <c r="J1808" s="87"/>
      <c r="K1808" s="86"/>
      <c r="L1808" s="86"/>
      <c r="M1808" s="87"/>
      <c r="N1808" s="86"/>
      <c r="O1808" s="87"/>
    </row>
    <row r="1809" spans="2:15">
      <c r="B1809" s="83"/>
      <c r="C1809" s="84"/>
      <c r="D1809" s="85"/>
      <c r="E1809" s="85"/>
      <c r="F1809" s="86"/>
      <c r="G1809" s="86"/>
      <c r="H1809" s="87"/>
      <c r="I1809" s="86"/>
      <c r="J1809" s="87"/>
      <c r="K1809" s="86"/>
      <c r="L1809" s="86"/>
      <c r="M1809" s="87"/>
      <c r="N1809" s="86"/>
      <c r="O1809" s="87"/>
    </row>
    <row r="1810" spans="2:15">
      <c r="B1810" s="83"/>
      <c r="C1810" s="84"/>
      <c r="D1810" s="85"/>
      <c r="E1810" s="85"/>
      <c r="F1810" s="86"/>
      <c r="G1810" s="86"/>
      <c r="H1810" s="87"/>
      <c r="I1810" s="86"/>
      <c r="J1810" s="87"/>
      <c r="K1810" s="86"/>
      <c r="L1810" s="86"/>
      <c r="M1810" s="87"/>
      <c r="N1810" s="86"/>
      <c r="O1810" s="87"/>
    </row>
    <row r="1811" spans="2:15">
      <c r="B1811" s="83"/>
      <c r="C1811" s="84"/>
      <c r="D1811" s="85"/>
      <c r="E1811" s="85"/>
      <c r="F1811" s="86"/>
      <c r="G1811" s="86"/>
      <c r="H1811" s="87"/>
      <c r="I1811" s="86"/>
      <c r="J1811" s="87"/>
      <c r="K1811" s="86"/>
      <c r="L1811" s="86"/>
      <c r="M1811" s="87"/>
      <c r="N1811" s="86"/>
      <c r="O1811" s="87"/>
    </row>
    <row r="1812" spans="2:15">
      <c r="B1812" s="83"/>
      <c r="C1812" s="84"/>
      <c r="D1812" s="85"/>
      <c r="E1812" s="85"/>
      <c r="F1812" s="86"/>
      <c r="G1812" s="86"/>
      <c r="H1812" s="87"/>
      <c r="I1812" s="86"/>
      <c r="J1812" s="87"/>
      <c r="K1812" s="86"/>
      <c r="L1812" s="86"/>
      <c r="M1812" s="87"/>
      <c r="N1812" s="86"/>
      <c r="O1812" s="87"/>
    </row>
    <row r="1813" spans="2:15">
      <c r="B1813" s="83"/>
      <c r="C1813" s="84"/>
      <c r="D1813" s="85"/>
      <c r="E1813" s="85"/>
      <c r="F1813" s="86"/>
      <c r="G1813" s="86"/>
      <c r="H1813" s="87"/>
      <c r="I1813" s="86"/>
      <c r="J1813" s="87"/>
      <c r="K1813" s="86"/>
      <c r="L1813" s="86"/>
      <c r="M1813" s="87"/>
      <c r="N1813" s="86"/>
      <c r="O1813" s="87"/>
    </row>
    <row r="1814" spans="2:15">
      <c r="B1814" s="83"/>
      <c r="C1814" s="84"/>
      <c r="D1814" s="85"/>
      <c r="E1814" s="85"/>
      <c r="F1814" s="86"/>
      <c r="G1814" s="86"/>
      <c r="H1814" s="87"/>
      <c r="I1814" s="86"/>
      <c r="J1814" s="87"/>
      <c r="K1814" s="86"/>
      <c r="L1814" s="86"/>
      <c r="M1814" s="87"/>
      <c r="N1814" s="86"/>
      <c r="O1814" s="87"/>
    </row>
    <row r="1815" spans="2:15">
      <c r="B1815" s="83"/>
      <c r="C1815" s="84"/>
      <c r="D1815" s="85"/>
      <c r="E1815" s="85"/>
      <c r="F1815" s="86"/>
      <c r="G1815" s="86"/>
      <c r="H1815" s="87"/>
      <c r="I1815" s="86"/>
      <c r="J1815" s="87"/>
      <c r="K1815" s="86"/>
      <c r="L1815" s="86"/>
      <c r="M1815" s="87"/>
      <c r="N1815" s="86"/>
      <c r="O1815" s="87"/>
    </row>
    <row r="1816" spans="2:15">
      <c r="B1816" s="83"/>
      <c r="C1816" s="84"/>
      <c r="D1816" s="85"/>
      <c r="E1816" s="85"/>
      <c r="F1816" s="86"/>
      <c r="G1816" s="86"/>
      <c r="H1816" s="87"/>
      <c r="I1816" s="86"/>
      <c r="J1816" s="87"/>
      <c r="K1816" s="86"/>
      <c r="L1816" s="86"/>
      <c r="M1816" s="87"/>
      <c r="N1816" s="86"/>
      <c r="O1816" s="87"/>
    </row>
    <row r="1817" spans="2:15">
      <c r="B1817" s="83"/>
      <c r="C1817" s="84"/>
      <c r="D1817" s="85"/>
      <c r="E1817" s="85"/>
      <c r="F1817" s="86"/>
      <c r="G1817" s="86"/>
      <c r="H1817" s="87"/>
      <c r="I1817" s="86"/>
      <c r="J1817" s="87"/>
      <c r="K1817" s="86"/>
      <c r="L1817" s="86"/>
      <c r="M1817" s="87"/>
      <c r="N1817" s="86"/>
      <c r="O1817" s="87"/>
    </row>
    <row r="1818" spans="2:15">
      <c r="B1818" s="83"/>
      <c r="C1818" s="84"/>
      <c r="D1818" s="85"/>
      <c r="E1818" s="85"/>
      <c r="F1818" s="86"/>
      <c r="G1818" s="86"/>
      <c r="H1818" s="87"/>
      <c r="I1818" s="86"/>
      <c r="J1818" s="87"/>
      <c r="K1818" s="86"/>
      <c r="L1818" s="86"/>
      <c r="M1818" s="87"/>
      <c r="N1818" s="86"/>
      <c r="O1818" s="87"/>
    </row>
    <row r="1819" spans="2:15">
      <c r="B1819" s="83"/>
      <c r="C1819" s="84"/>
      <c r="D1819" s="85"/>
      <c r="E1819" s="85"/>
      <c r="F1819" s="86"/>
      <c r="G1819" s="86"/>
      <c r="H1819" s="87"/>
      <c r="I1819" s="86"/>
      <c r="J1819" s="87"/>
      <c r="K1819" s="86"/>
      <c r="L1819" s="86"/>
      <c r="M1819" s="87"/>
      <c r="N1819" s="86"/>
      <c r="O1819" s="87"/>
    </row>
    <row r="1820" spans="2:15">
      <c r="B1820" s="83"/>
      <c r="C1820" s="84"/>
      <c r="D1820" s="85"/>
      <c r="E1820" s="85"/>
      <c r="F1820" s="86"/>
      <c r="G1820" s="86"/>
      <c r="H1820" s="87"/>
      <c r="I1820" s="86"/>
      <c r="J1820" s="87"/>
      <c r="K1820" s="86"/>
      <c r="L1820" s="86"/>
      <c r="M1820" s="87"/>
      <c r="N1820" s="86"/>
      <c r="O1820" s="87"/>
    </row>
    <row r="1821" spans="2:15">
      <c r="B1821" s="83"/>
      <c r="C1821" s="84"/>
      <c r="D1821" s="85"/>
      <c r="E1821" s="85"/>
      <c r="F1821" s="86"/>
      <c r="G1821" s="86"/>
      <c r="H1821" s="87"/>
      <c r="I1821" s="86"/>
      <c r="J1821" s="87"/>
      <c r="K1821" s="86"/>
      <c r="L1821" s="86"/>
      <c r="M1821" s="87"/>
      <c r="N1821" s="86"/>
      <c r="O1821" s="87"/>
    </row>
    <row r="1822" spans="2:15">
      <c r="B1822" s="83"/>
      <c r="C1822" s="84"/>
      <c r="D1822" s="85"/>
      <c r="E1822" s="85"/>
      <c r="F1822" s="86"/>
      <c r="G1822" s="86"/>
      <c r="H1822" s="87"/>
      <c r="I1822" s="86"/>
      <c r="J1822" s="87"/>
      <c r="K1822" s="86"/>
      <c r="L1822" s="86"/>
      <c r="M1822" s="87"/>
      <c r="N1822" s="86"/>
      <c r="O1822" s="87"/>
    </row>
    <row r="1823" spans="2:15">
      <c r="B1823" s="83"/>
      <c r="C1823" s="84"/>
      <c r="D1823" s="85"/>
      <c r="E1823" s="85"/>
      <c r="F1823" s="86"/>
      <c r="G1823" s="86"/>
      <c r="H1823" s="87"/>
      <c r="I1823" s="86"/>
      <c r="J1823" s="87"/>
      <c r="K1823" s="86"/>
      <c r="L1823" s="86"/>
      <c r="M1823" s="87"/>
      <c r="N1823" s="86"/>
      <c r="O1823" s="87"/>
    </row>
    <row r="1824" spans="2:15">
      <c r="B1824" s="83"/>
      <c r="C1824" s="84"/>
      <c r="D1824" s="85"/>
      <c r="E1824" s="85"/>
      <c r="F1824" s="86"/>
      <c r="G1824" s="86"/>
      <c r="H1824" s="87"/>
      <c r="I1824" s="86"/>
      <c r="J1824" s="87"/>
      <c r="K1824" s="86"/>
      <c r="L1824" s="86"/>
      <c r="M1824" s="87"/>
      <c r="N1824" s="86"/>
      <c r="O1824" s="87"/>
    </row>
    <row r="1825" spans="2:15">
      <c r="B1825" s="83"/>
      <c r="C1825" s="84"/>
      <c r="D1825" s="85"/>
      <c r="E1825" s="85"/>
      <c r="F1825" s="86"/>
      <c r="G1825" s="86"/>
      <c r="H1825" s="87"/>
      <c r="I1825" s="86"/>
      <c r="J1825" s="87"/>
      <c r="K1825" s="86"/>
      <c r="L1825" s="86"/>
      <c r="M1825" s="87"/>
      <c r="N1825" s="86"/>
      <c r="O1825" s="87"/>
    </row>
    <row r="1826" spans="2:15">
      <c r="B1826" s="83"/>
      <c r="C1826" s="84"/>
      <c r="D1826" s="85"/>
      <c r="E1826" s="85"/>
      <c r="F1826" s="86"/>
      <c r="G1826" s="86"/>
      <c r="H1826" s="87"/>
      <c r="I1826" s="86"/>
      <c r="J1826" s="87"/>
      <c r="K1826" s="86"/>
      <c r="L1826" s="86"/>
      <c r="M1826" s="87"/>
      <c r="N1826" s="86"/>
      <c r="O1826" s="87"/>
    </row>
    <row r="1827" spans="2:15">
      <c r="B1827" s="83"/>
      <c r="C1827" s="84"/>
      <c r="D1827" s="85"/>
      <c r="E1827" s="85"/>
      <c r="F1827" s="86"/>
      <c r="G1827" s="86"/>
      <c r="H1827" s="87"/>
      <c r="I1827" s="86"/>
      <c r="J1827" s="87"/>
      <c r="K1827" s="86"/>
      <c r="L1827" s="86"/>
      <c r="M1827" s="87"/>
      <c r="N1827" s="86"/>
      <c r="O1827" s="87"/>
    </row>
    <row r="1828" spans="2:15">
      <c r="B1828" s="83"/>
      <c r="C1828" s="84"/>
      <c r="D1828" s="85"/>
      <c r="E1828" s="85"/>
      <c r="F1828" s="86"/>
      <c r="G1828" s="86"/>
      <c r="H1828" s="87"/>
      <c r="I1828" s="86"/>
      <c r="J1828" s="87"/>
      <c r="K1828" s="86"/>
      <c r="L1828" s="86"/>
      <c r="M1828" s="87"/>
      <c r="N1828" s="86"/>
      <c r="O1828" s="87"/>
    </row>
    <row r="1829" spans="2:15">
      <c r="B1829" s="83"/>
      <c r="C1829" s="84"/>
      <c r="D1829" s="85"/>
      <c r="E1829" s="85"/>
      <c r="F1829" s="86"/>
      <c r="G1829" s="86"/>
      <c r="H1829" s="87"/>
      <c r="I1829" s="86"/>
      <c r="J1829" s="87"/>
      <c r="K1829" s="86"/>
      <c r="L1829" s="86"/>
      <c r="M1829" s="87"/>
      <c r="N1829" s="86"/>
      <c r="O1829" s="87"/>
    </row>
    <row r="1830" spans="2:15">
      <c r="B1830" s="83"/>
      <c r="C1830" s="84"/>
      <c r="D1830" s="85"/>
      <c r="E1830" s="85"/>
      <c r="F1830" s="86"/>
      <c r="G1830" s="86"/>
      <c r="H1830" s="87"/>
      <c r="I1830" s="86"/>
      <c r="J1830" s="87"/>
      <c r="K1830" s="86"/>
      <c r="L1830" s="86"/>
      <c r="M1830" s="87"/>
      <c r="N1830" s="86"/>
      <c r="O1830" s="87"/>
    </row>
    <row r="1831" spans="2:15">
      <c r="B1831" s="83"/>
      <c r="C1831" s="84"/>
      <c r="D1831" s="85"/>
      <c r="E1831" s="85"/>
      <c r="F1831" s="86"/>
      <c r="G1831" s="86"/>
      <c r="H1831" s="87"/>
      <c r="I1831" s="86"/>
      <c r="J1831" s="87"/>
      <c r="K1831" s="86"/>
      <c r="L1831" s="86"/>
      <c r="M1831" s="87"/>
      <c r="N1831" s="86"/>
      <c r="O1831" s="87"/>
    </row>
    <row r="1832" spans="2:15">
      <c r="B1832" s="83"/>
      <c r="C1832" s="84"/>
      <c r="D1832" s="85"/>
      <c r="E1832" s="85"/>
      <c r="F1832" s="86"/>
      <c r="G1832" s="86"/>
      <c r="H1832" s="87"/>
      <c r="I1832" s="86"/>
      <c r="J1832" s="87"/>
      <c r="K1832" s="86"/>
      <c r="L1832" s="86"/>
      <c r="M1832" s="87"/>
      <c r="N1832" s="86"/>
      <c r="O1832" s="87"/>
    </row>
    <row r="1833" spans="2:15">
      <c r="B1833" s="83"/>
      <c r="C1833" s="84"/>
      <c r="D1833" s="85"/>
      <c r="E1833" s="85"/>
      <c r="F1833" s="86"/>
      <c r="G1833" s="86"/>
      <c r="H1833" s="87"/>
      <c r="I1833" s="86"/>
      <c r="J1833" s="87"/>
      <c r="K1833" s="86"/>
      <c r="L1833" s="86"/>
      <c r="M1833" s="87"/>
      <c r="N1833" s="86"/>
      <c r="O1833" s="87"/>
    </row>
    <row r="1834" spans="2:15">
      <c r="B1834" s="83"/>
      <c r="C1834" s="84"/>
      <c r="D1834" s="85"/>
      <c r="E1834" s="85"/>
      <c r="F1834" s="86"/>
      <c r="G1834" s="86"/>
      <c r="H1834" s="87"/>
      <c r="I1834" s="86"/>
      <c r="J1834" s="87"/>
      <c r="K1834" s="86"/>
      <c r="L1834" s="86"/>
      <c r="M1834" s="87"/>
      <c r="N1834" s="86"/>
      <c r="O1834" s="87"/>
    </row>
    <row r="1835" spans="2:15">
      <c r="B1835" s="83"/>
      <c r="C1835" s="84"/>
      <c r="D1835" s="85"/>
      <c r="E1835" s="85"/>
      <c r="F1835" s="86"/>
      <c r="G1835" s="86"/>
      <c r="H1835" s="87"/>
      <c r="I1835" s="86"/>
      <c r="J1835" s="87"/>
      <c r="K1835" s="86"/>
      <c r="L1835" s="86"/>
      <c r="M1835" s="87"/>
      <c r="N1835" s="86"/>
      <c r="O1835" s="87"/>
    </row>
    <row r="1836" spans="2:15">
      <c r="B1836" s="83"/>
      <c r="C1836" s="84"/>
      <c r="D1836" s="85"/>
      <c r="E1836" s="85"/>
      <c r="F1836" s="86"/>
      <c r="G1836" s="86"/>
      <c r="H1836" s="87"/>
      <c r="I1836" s="86"/>
      <c r="J1836" s="87"/>
      <c r="K1836" s="86"/>
      <c r="L1836" s="86"/>
      <c r="M1836" s="87"/>
      <c r="N1836" s="86"/>
      <c r="O1836" s="87"/>
    </row>
    <row r="1837" spans="2:15">
      <c r="B1837" s="83"/>
      <c r="C1837" s="84"/>
      <c r="D1837" s="85"/>
      <c r="E1837" s="85"/>
      <c r="F1837" s="86"/>
      <c r="G1837" s="86"/>
      <c r="H1837" s="87"/>
      <c r="I1837" s="86"/>
      <c r="J1837" s="87"/>
      <c r="K1837" s="86"/>
      <c r="L1837" s="86"/>
      <c r="M1837" s="87"/>
      <c r="N1837" s="86"/>
      <c r="O1837" s="87"/>
    </row>
    <row r="1838" spans="2:15">
      <c r="B1838" s="83"/>
      <c r="C1838" s="84"/>
      <c r="D1838" s="85"/>
      <c r="E1838" s="85"/>
      <c r="F1838" s="86"/>
      <c r="G1838" s="86"/>
      <c r="H1838" s="87"/>
      <c r="I1838" s="86"/>
      <c r="J1838" s="87"/>
      <c r="K1838" s="86"/>
      <c r="L1838" s="86"/>
      <c r="M1838" s="87"/>
      <c r="N1838" s="86"/>
      <c r="O1838" s="87"/>
    </row>
    <row r="1839" spans="2:15">
      <c r="B1839" s="83"/>
      <c r="C1839" s="84"/>
      <c r="D1839" s="85"/>
      <c r="E1839" s="85"/>
      <c r="F1839" s="86"/>
      <c r="G1839" s="86"/>
      <c r="H1839" s="87"/>
      <c r="I1839" s="86"/>
      <c r="J1839" s="87"/>
      <c r="K1839" s="86"/>
      <c r="L1839" s="86"/>
      <c r="M1839" s="87"/>
      <c r="N1839" s="86"/>
      <c r="O1839" s="87"/>
    </row>
    <row r="1840" spans="2:15">
      <c r="B1840" s="83"/>
      <c r="C1840" s="84"/>
      <c r="D1840" s="85"/>
      <c r="E1840" s="85"/>
      <c r="F1840" s="86"/>
      <c r="G1840" s="86"/>
      <c r="H1840" s="87"/>
      <c r="I1840" s="86"/>
      <c r="J1840" s="87"/>
      <c r="K1840" s="86"/>
      <c r="L1840" s="86"/>
      <c r="M1840" s="87"/>
      <c r="N1840" s="86"/>
      <c r="O1840" s="87"/>
    </row>
    <row r="1841" spans="2:15">
      <c r="B1841" s="83"/>
      <c r="C1841" s="84"/>
      <c r="D1841" s="85"/>
      <c r="E1841" s="85"/>
      <c r="F1841" s="86"/>
      <c r="G1841" s="86"/>
      <c r="H1841" s="87"/>
      <c r="I1841" s="86"/>
      <c r="J1841" s="87"/>
      <c r="K1841" s="86"/>
      <c r="L1841" s="86"/>
      <c r="M1841" s="87"/>
      <c r="N1841" s="86"/>
      <c r="O1841" s="87"/>
    </row>
    <row r="1842" spans="2:15">
      <c r="B1842" s="83"/>
      <c r="C1842" s="84"/>
      <c r="D1842" s="85"/>
      <c r="E1842" s="85"/>
      <c r="F1842" s="86"/>
      <c r="G1842" s="86"/>
      <c r="H1842" s="87"/>
      <c r="I1842" s="86"/>
      <c r="J1842" s="87"/>
      <c r="K1842" s="86"/>
      <c r="L1842" s="86"/>
      <c r="M1842" s="87"/>
      <c r="N1842" s="86"/>
      <c r="O1842" s="87"/>
    </row>
    <row r="1843" spans="2:15">
      <c r="B1843" s="83"/>
      <c r="C1843" s="84"/>
      <c r="D1843" s="85"/>
      <c r="E1843" s="85"/>
      <c r="F1843" s="86"/>
      <c r="G1843" s="86"/>
      <c r="H1843" s="87"/>
      <c r="I1843" s="86"/>
      <c r="J1843" s="87"/>
      <c r="K1843" s="86"/>
      <c r="L1843" s="86"/>
      <c r="M1843" s="87"/>
      <c r="N1843" s="86"/>
      <c r="O1843" s="87"/>
    </row>
    <row r="1844" spans="2:15">
      <c r="B1844" s="83"/>
      <c r="C1844" s="84"/>
      <c r="D1844" s="85"/>
      <c r="E1844" s="85"/>
      <c r="F1844" s="86"/>
      <c r="G1844" s="86"/>
      <c r="H1844" s="87"/>
      <c r="I1844" s="86"/>
      <c r="J1844" s="87"/>
      <c r="K1844" s="86"/>
      <c r="L1844" s="86"/>
      <c r="M1844" s="87"/>
      <c r="N1844" s="86"/>
      <c r="O1844" s="87"/>
    </row>
    <row r="1845" spans="2:15">
      <c r="B1845" s="83"/>
      <c r="C1845" s="84"/>
      <c r="D1845" s="85"/>
      <c r="E1845" s="85"/>
      <c r="F1845" s="86"/>
      <c r="G1845" s="86"/>
      <c r="H1845" s="87"/>
      <c r="I1845" s="86"/>
      <c r="J1845" s="87"/>
      <c r="K1845" s="86"/>
      <c r="L1845" s="86"/>
      <c r="M1845" s="87"/>
      <c r="N1845" s="86"/>
      <c r="O1845" s="87"/>
    </row>
    <row r="1846" spans="2:15">
      <c r="B1846" s="83"/>
      <c r="C1846" s="84"/>
      <c r="D1846" s="85"/>
      <c r="E1846" s="85"/>
      <c r="F1846" s="86"/>
      <c r="G1846" s="86"/>
      <c r="H1846" s="87"/>
      <c r="I1846" s="86"/>
      <c r="J1846" s="87"/>
      <c r="K1846" s="86"/>
      <c r="L1846" s="86"/>
      <c r="M1846" s="87"/>
      <c r="N1846" s="86"/>
      <c r="O1846" s="87"/>
    </row>
    <row r="1847" spans="2:15">
      <c r="B1847" s="83"/>
      <c r="C1847" s="84"/>
      <c r="D1847" s="85"/>
      <c r="E1847" s="85"/>
      <c r="F1847" s="86"/>
      <c r="G1847" s="86"/>
      <c r="H1847" s="87"/>
      <c r="I1847" s="86"/>
      <c r="J1847" s="87"/>
      <c r="K1847" s="86"/>
      <c r="L1847" s="86"/>
      <c r="M1847" s="87"/>
      <c r="N1847" s="86"/>
      <c r="O1847" s="87"/>
    </row>
    <row r="1848" spans="2:15">
      <c r="B1848" s="83"/>
      <c r="C1848" s="84"/>
      <c r="D1848" s="85"/>
      <c r="E1848" s="85"/>
      <c r="F1848" s="86"/>
      <c r="G1848" s="86"/>
      <c r="H1848" s="87"/>
      <c r="I1848" s="86"/>
      <c r="J1848" s="87"/>
      <c r="K1848" s="86"/>
      <c r="L1848" s="86"/>
      <c r="M1848" s="87"/>
      <c r="N1848" s="86"/>
      <c r="O1848" s="87"/>
    </row>
    <row r="1849" spans="2:15">
      <c r="B1849" s="83"/>
      <c r="C1849" s="84"/>
      <c r="D1849" s="85"/>
      <c r="E1849" s="85"/>
      <c r="F1849" s="86"/>
      <c r="G1849" s="86"/>
      <c r="H1849" s="87"/>
      <c r="I1849" s="86"/>
      <c r="J1849" s="87"/>
      <c r="K1849" s="86"/>
      <c r="L1849" s="86"/>
      <c r="M1849" s="87"/>
      <c r="N1849" s="86"/>
      <c r="O1849" s="87"/>
    </row>
    <row r="1850" spans="2:15">
      <c r="B1850" s="83"/>
      <c r="C1850" s="84"/>
      <c r="D1850" s="85"/>
      <c r="E1850" s="85"/>
      <c r="F1850" s="86"/>
      <c r="G1850" s="86"/>
      <c r="H1850" s="87"/>
      <c r="I1850" s="86"/>
      <c r="J1850" s="87"/>
      <c r="K1850" s="86"/>
      <c r="L1850" s="86"/>
      <c r="M1850" s="87"/>
      <c r="N1850" s="86"/>
      <c r="O1850" s="87"/>
    </row>
    <row r="1851" spans="2:15">
      <c r="B1851" s="83"/>
      <c r="C1851" s="84"/>
      <c r="D1851" s="85"/>
      <c r="E1851" s="85"/>
      <c r="F1851" s="86"/>
      <c r="G1851" s="86"/>
      <c r="H1851" s="87"/>
      <c r="I1851" s="86"/>
      <c r="J1851" s="87"/>
      <c r="K1851" s="86"/>
      <c r="L1851" s="86"/>
      <c r="M1851" s="87"/>
      <c r="N1851" s="86"/>
      <c r="O1851" s="87"/>
    </row>
    <row r="1852" spans="2:15">
      <c r="B1852" s="83"/>
      <c r="C1852" s="84"/>
      <c r="D1852" s="85"/>
      <c r="E1852" s="85"/>
      <c r="F1852" s="86"/>
      <c r="G1852" s="86"/>
      <c r="H1852" s="87"/>
      <c r="I1852" s="86"/>
      <c r="J1852" s="87"/>
      <c r="K1852" s="86"/>
      <c r="L1852" s="86"/>
      <c r="M1852" s="87"/>
      <c r="N1852" s="86"/>
      <c r="O1852" s="87"/>
    </row>
    <row r="1853" spans="2:15">
      <c r="B1853" s="83"/>
      <c r="C1853" s="84"/>
      <c r="D1853" s="85"/>
      <c r="E1853" s="85"/>
      <c r="F1853" s="86"/>
      <c r="G1853" s="86"/>
      <c r="H1853" s="87"/>
      <c r="I1853" s="86"/>
      <c r="J1853" s="87"/>
      <c r="K1853" s="86"/>
      <c r="L1853" s="86"/>
      <c r="M1853" s="87"/>
      <c r="N1853" s="86"/>
      <c r="O1853" s="87"/>
    </row>
    <row r="1854" spans="2:15">
      <c r="B1854" s="83"/>
      <c r="C1854" s="84"/>
      <c r="D1854" s="85"/>
      <c r="E1854" s="85"/>
      <c r="F1854" s="86"/>
      <c r="G1854" s="86"/>
      <c r="H1854" s="87"/>
      <c r="I1854" s="86"/>
      <c r="J1854" s="87"/>
      <c r="K1854" s="86"/>
      <c r="L1854" s="86"/>
      <c r="M1854" s="87"/>
      <c r="N1854" s="86"/>
      <c r="O1854" s="87"/>
    </row>
    <row r="1855" spans="2:15">
      <c r="B1855" s="83"/>
      <c r="C1855" s="84"/>
      <c r="D1855" s="85"/>
      <c r="E1855" s="85"/>
      <c r="F1855" s="86"/>
      <c r="G1855" s="86"/>
      <c r="H1855" s="87"/>
      <c r="I1855" s="86"/>
      <c r="J1855" s="87"/>
      <c r="K1855" s="86"/>
      <c r="L1855" s="86"/>
      <c r="M1855" s="87"/>
      <c r="N1855" s="86"/>
      <c r="O1855" s="87"/>
    </row>
    <row r="1856" spans="2:15">
      <c r="B1856" s="83"/>
      <c r="C1856" s="84"/>
      <c r="D1856" s="85"/>
      <c r="E1856" s="85"/>
      <c r="F1856" s="86"/>
      <c r="G1856" s="86"/>
      <c r="H1856" s="87"/>
      <c r="I1856" s="86"/>
      <c r="J1856" s="87"/>
      <c r="K1856" s="86"/>
      <c r="L1856" s="86"/>
      <c r="M1856" s="87"/>
      <c r="N1856" s="86"/>
      <c r="O1856" s="87"/>
    </row>
    <row r="1857" spans="2:15">
      <c r="B1857" s="83"/>
      <c r="C1857" s="84"/>
      <c r="D1857" s="85"/>
      <c r="E1857" s="85"/>
      <c r="F1857" s="86"/>
      <c r="G1857" s="86"/>
      <c r="H1857" s="87"/>
      <c r="I1857" s="86"/>
      <c r="J1857" s="87"/>
      <c r="K1857" s="86"/>
      <c r="L1857" s="86"/>
      <c r="M1857" s="87"/>
      <c r="N1857" s="86"/>
      <c r="O1857" s="87"/>
    </row>
    <row r="1858" spans="2:15">
      <c r="B1858" s="83"/>
      <c r="C1858" s="84"/>
      <c r="D1858" s="85"/>
      <c r="E1858" s="85"/>
      <c r="F1858" s="86"/>
      <c r="G1858" s="86"/>
      <c r="H1858" s="87"/>
      <c r="I1858" s="86"/>
      <c r="J1858" s="87"/>
      <c r="K1858" s="86"/>
      <c r="L1858" s="86"/>
      <c r="M1858" s="87"/>
      <c r="N1858" s="86"/>
      <c r="O1858" s="87"/>
    </row>
    <row r="1859" spans="2:15">
      <c r="B1859" s="83"/>
      <c r="C1859" s="84"/>
      <c r="D1859" s="85"/>
      <c r="E1859" s="85"/>
      <c r="F1859" s="86"/>
      <c r="G1859" s="86"/>
      <c r="H1859" s="87"/>
      <c r="I1859" s="86"/>
      <c r="J1859" s="87"/>
      <c r="K1859" s="86"/>
      <c r="L1859" s="86"/>
      <c r="M1859" s="87"/>
      <c r="N1859" s="86"/>
      <c r="O1859" s="87"/>
    </row>
    <row r="1860" spans="2:15">
      <c r="B1860" s="83"/>
      <c r="C1860" s="84"/>
      <c r="D1860" s="85"/>
      <c r="E1860" s="85"/>
      <c r="F1860" s="86"/>
      <c r="G1860" s="86"/>
      <c r="H1860" s="87"/>
      <c r="I1860" s="86"/>
      <c r="J1860" s="87"/>
      <c r="K1860" s="86"/>
      <c r="L1860" s="86"/>
      <c r="M1860" s="87"/>
      <c r="N1860" s="86"/>
      <c r="O1860" s="87"/>
    </row>
    <row r="1861" spans="2:15">
      <c r="B1861" s="83"/>
      <c r="C1861" s="84"/>
      <c r="D1861" s="85"/>
      <c r="E1861" s="85"/>
      <c r="F1861" s="86"/>
      <c r="G1861" s="86"/>
      <c r="H1861" s="87"/>
      <c r="I1861" s="86"/>
      <c r="J1861" s="87"/>
      <c r="K1861" s="86"/>
      <c r="L1861" s="86"/>
      <c r="M1861" s="87"/>
      <c r="N1861" s="86"/>
      <c r="O1861" s="87"/>
    </row>
    <row r="1862" spans="2:15">
      <c r="B1862" s="83"/>
      <c r="C1862" s="84"/>
      <c r="D1862" s="85"/>
      <c r="E1862" s="85"/>
      <c r="F1862" s="86"/>
      <c r="G1862" s="86"/>
      <c r="H1862" s="87"/>
      <c r="I1862" s="86"/>
      <c r="J1862" s="87"/>
      <c r="K1862" s="86"/>
      <c r="L1862" s="86"/>
      <c r="M1862" s="87"/>
      <c r="N1862" s="86"/>
      <c r="O1862" s="87"/>
    </row>
    <row r="1863" spans="2:15">
      <c r="B1863" s="83"/>
      <c r="C1863" s="84"/>
      <c r="D1863" s="85"/>
      <c r="E1863" s="85"/>
      <c r="F1863" s="86"/>
      <c r="G1863" s="86"/>
      <c r="H1863" s="87"/>
      <c r="I1863" s="86"/>
      <c r="J1863" s="87"/>
      <c r="K1863" s="86"/>
      <c r="L1863" s="86"/>
      <c r="M1863" s="87"/>
      <c r="N1863" s="86"/>
      <c r="O1863" s="87"/>
    </row>
    <row r="1864" spans="2:15">
      <c r="B1864" s="83"/>
      <c r="C1864" s="84"/>
      <c r="D1864" s="85"/>
      <c r="E1864" s="85"/>
      <c r="F1864" s="86"/>
      <c r="G1864" s="86"/>
      <c r="H1864" s="87"/>
      <c r="I1864" s="86"/>
      <c r="J1864" s="87"/>
      <c r="K1864" s="86"/>
      <c r="L1864" s="86"/>
      <c r="M1864" s="87"/>
      <c r="N1864" s="86"/>
      <c r="O1864" s="87"/>
    </row>
    <row r="1865" spans="2:15">
      <c r="B1865" s="83"/>
      <c r="C1865" s="84"/>
      <c r="D1865" s="85"/>
      <c r="E1865" s="85"/>
      <c r="F1865" s="86"/>
      <c r="G1865" s="86"/>
      <c r="H1865" s="87"/>
      <c r="I1865" s="86"/>
      <c r="J1865" s="87"/>
      <c r="K1865" s="86"/>
      <c r="L1865" s="86"/>
      <c r="M1865" s="87"/>
      <c r="N1865" s="86"/>
      <c r="O1865" s="87"/>
    </row>
    <row r="1866" spans="2:15">
      <c r="B1866" s="83"/>
      <c r="C1866" s="84"/>
      <c r="D1866" s="85"/>
      <c r="E1866" s="85"/>
      <c r="F1866" s="86"/>
      <c r="G1866" s="86"/>
      <c r="H1866" s="87"/>
      <c r="I1866" s="86"/>
      <c r="J1866" s="87"/>
      <c r="K1866" s="86"/>
      <c r="L1866" s="86"/>
      <c r="M1866" s="87"/>
      <c r="N1866" s="86"/>
      <c r="O1866" s="87"/>
    </row>
    <row r="1867" spans="2:15">
      <c r="B1867" s="83"/>
      <c r="C1867" s="84"/>
      <c r="D1867" s="85"/>
      <c r="E1867" s="85"/>
      <c r="F1867" s="86"/>
      <c r="G1867" s="86"/>
      <c r="H1867" s="87"/>
      <c r="I1867" s="86"/>
      <c r="J1867" s="87"/>
      <c r="K1867" s="86"/>
      <c r="L1867" s="86"/>
      <c r="M1867" s="87"/>
      <c r="N1867" s="86"/>
      <c r="O1867" s="87"/>
    </row>
    <row r="1868" spans="2:15">
      <c r="B1868" s="83"/>
      <c r="C1868" s="84"/>
      <c r="D1868" s="85"/>
      <c r="E1868" s="85"/>
      <c r="F1868" s="86"/>
      <c r="G1868" s="86"/>
      <c r="H1868" s="87"/>
      <c r="I1868" s="86"/>
      <c r="J1868" s="87"/>
      <c r="K1868" s="86"/>
      <c r="L1868" s="86"/>
      <c r="M1868" s="87"/>
      <c r="N1868" s="86"/>
      <c r="O1868" s="87"/>
    </row>
    <row r="1869" spans="2:15">
      <c r="B1869" s="83"/>
      <c r="C1869" s="84"/>
      <c r="D1869" s="85"/>
      <c r="E1869" s="85"/>
      <c r="F1869" s="86"/>
      <c r="G1869" s="86"/>
      <c r="H1869" s="87"/>
      <c r="I1869" s="86"/>
      <c r="J1869" s="87"/>
      <c r="K1869" s="86"/>
      <c r="L1869" s="86"/>
      <c r="M1869" s="87"/>
      <c r="N1869" s="86"/>
      <c r="O1869" s="87"/>
    </row>
    <row r="1870" spans="2:15">
      <c r="B1870" s="83"/>
      <c r="C1870" s="84"/>
      <c r="D1870" s="85"/>
      <c r="E1870" s="85"/>
      <c r="F1870" s="86"/>
      <c r="G1870" s="86"/>
      <c r="H1870" s="87"/>
      <c r="I1870" s="86"/>
      <c r="J1870" s="87"/>
      <c r="K1870" s="86"/>
      <c r="L1870" s="86"/>
      <c r="M1870" s="87"/>
      <c r="N1870" s="86"/>
      <c r="O1870" s="87"/>
    </row>
    <row r="1871" spans="2:15">
      <c r="B1871" s="83"/>
      <c r="C1871" s="84"/>
      <c r="D1871" s="85"/>
      <c r="E1871" s="85"/>
      <c r="F1871" s="86"/>
      <c r="G1871" s="86"/>
      <c r="H1871" s="87"/>
      <c r="I1871" s="86"/>
      <c r="J1871" s="87"/>
      <c r="K1871" s="86"/>
      <c r="L1871" s="86"/>
      <c r="M1871" s="87"/>
      <c r="N1871" s="86"/>
      <c r="O1871" s="87"/>
    </row>
    <row r="1872" spans="2:15">
      <c r="B1872" s="83"/>
      <c r="C1872" s="84"/>
      <c r="D1872" s="85"/>
      <c r="E1872" s="85"/>
      <c r="F1872" s="86"/>
      <c r="G1872" s="86"/>
      <c r="H1872" s="87"/>
      <c r="I1872" s="86"/>
      <c r="J1872" s="87"/>
      <c r="K1872" s="86"/>
      <c r="L1872" s="86"/>
      <c r="M1872" s="87"/>
      <c r="N1872" s="86"/>
      <c r="O1872" s="87"/>
    </row>
    <row r="1873" spans="2:15">
      <c r="B1873" s="83"/>
      <c r="C1873" s="84"/>
      <c r="D1873" s="85"/>
      <c r="E1873" s="85"/>
      <c r="F1873" s="86"/>
      <c r="G1873" s="86"/>
      <c r="H1873" s="87"/>
      <c r="I1873" s="86"/>
      <c r="J1873" s="87"/>
      <c r="K1873" s="86"/>
      <c r="L1873" s="86"/>
      <c r="M1873" s="87"/>
      <c r="N1873" s="86"/>
      <c r="O1873" s="87"/>
    </row>
    <row r="1874" spans="2:15">
      <c r="B1874" s="83"/>
      <c r="C1874" s="84"/>
      <c r="D1874" s="85"/>
      <c r="E1874" s="85"/>
      <c r="F1874" s="86"/>
      <c r="G1874" s="86"/>
      <c r="H1874" s="87"/>
      <c r="I1874" s="86"/>
      <c r="J1874" s="87"/>
      <c r="K1874" s="86"/>
      <c r="L1874" s="86"/>
      <c r="M1874" s="87"/>
      <c r="N1874" s="86"/>
      <c r="O1874" s="87"/>
    </row>
    <row r="1875" spans="2:15">
      <c r="B1875" s="83"/>
      <c r="C1875" s="84"/>
      <c r="D1875" s="85"/>
      <c r="E1875" s="85"/>
      <c r="F1875" s="86"/>
      <c r="G1875" s="86"/>
      <c r="H1875" s="87"/>
      <c r="I1875" s="86"/>
      <c r="J1875" s="87"/>
      <c r="K1875" s="86"/>
      <c r="L1875" s="86"/>
      <c r="M1875" s="87"/>
      <c r="N1875" s="86"/>
      <c r="O1875" s="87"/>
    </row>
    <row r="1876" spans="2:15">
      <c r="B1876" s="83"/>
      <c r="C1876" s="84"/>
      <c r="D1876" s="85"/>
      <c r="E1876" s="85"/>
      <c r="F1876" s="86"/>
      <c r="G1876" s="86"/>
      <c r="H1876" s="87"/>
      <c r="I1876" s="86"/>
      <c r="J1876" s="87"/>
      <c r="K1876" s="86"/>
      <c r="L1876" s="86"/>
      <c r="M1876" s="87"/>
      <c r="N1876" s="86"/>
      <c r="O1876" s="87"/>
    </row>
    <row r="1877" spans="2:15">
      <c r="B1877" s="83"/>
      <c r="C1877" s="84"/>
      <c r="D1877" s="85"/>
      <c r="E1877" s="85"/>
      <c r="F1877" s="86"/>
      <c r="G1877" s="86"/>
      <c r="H1877" s="87"/>
      <c r="I1877" s="86"/>
      <c r="J1877" s="87"/>
      <c r="K1877" s="86"/>
      <c r="L1877" s="86"/>
      <c r="M1877" s="87"/>
      <c r="N1877" s="86"/>
      <c r="O1877" s="87"/>
    </row>
    <row r="1878" spans="2:15">
      <c r="B1878" s="83"/>
      <c r="C1878" s="84"/>
      <c r="D1878" s="85"/>
      <c r="E1878" s="85"/>
      <c r="F1878" s="86"/>
      <c r="G1878" s="86"/>
      <c r="H1878" s="87"/>
      <c r="I1878" s="86"/>
      <c r="J1878" s="87"/>
      <c r="K1878" s="86"/>
      <c r="L1878" s="86"/>
      <c r="M1878" s="87"/>
      <c r="N1878" s="86"/>
      <c r="O1878" s="87"/>
    </row>
    <row r="1879" spans="2:15">
      <c r="B1879" s="83"/>
      <c r="C1879" s="84"/>
      <c r="D1879" s="85"/>
      <c r="E1879" s="85"/>
      <c r="F1879" s="86"/>
      <c r="G1879" s="86"/>
      <c r="H1879" s="87"/>
      <c r="I1879" s="86"/>
      <c r="J1879" s="87"/>
      <c r="K1879" s="86"/>
      <c r="L1879" s="86"/>
      <c r="M1879" s="87"/>
      <c r="N1879" s="86"/>
      <c r="O1879" s="87"/>
    </row>
    <row r="1880" spans="2:15">
      <c r="B1880" s="83"/>
      <c r="C1880" s="84"/>
      <c r="D1880" s="85"/>
      <c r="E1880" s="85"/>
      <c r="F1880" s="86"/>
      <c r="G1880" s="86"/>
      <c r="H1880" s="87"/>
      <c r="I1880" s="86"/>
      <c r="J1880" s="87"/>
      <c r="K1880" s="86"/>
      <c r="L1880" s="86"/>
      <c r="M1880" s="87"/>
      <c r="N1880" s="86"/>
      <c r="O1880" s="87"/>
    </row>
    <row r="1881" spans="2:15">
      <c r="B1881" s="83"/>
      <c r="C1881" s="84"/>
      <c r="D1881" s="85"/>
      <c r="E1881" s="85"/>
      <c r="F1881" s="86"/>
      <c r="G1881" s="86"/>
      <c r="H1881" s="87"/>
      <c r="I1881" s="86"/>
      <c r="J1881" s="87"/>
      <c r="K1881" s="86"/>
      <c r="L1881" s="86"/>
      <c r="M1881" s="87"/>
      <c r="N1881" s="86"/>
      <c r="O1881" s="87"/>
    </row>
    <row r="1882" spans="2:15">
      <c r="B1882" s="83"/>
      <c r="C1882" s="84"/>
      <c r="D1882" s="85"/>
      <c r="E1882" s="85"/>
      <c r="F1882" s="86"/>
      <c r="G1882" s="86"/>
      <c r="H1882" s="87"/>
      <c r="I1882" s="86"/>
      <c r="J1882" s="87"/>
      <c r="K1882" s="86"/>
      <c r="L1882" s="86"/>
      <c r="M1882" s="87"/>
      <c r="N1882" s="86"/>
      <c r="O1882" s="87"/>
    </row>
    <row r="1883" spans="2:15">
      <c r="B1883" s="83"/>
      <c r="C1883" s="84"/>
      <c r="D1883" s="85"/>
      <c r="E1883" s="85"/>
      <c r="F1883" s="86"/>
      <c r="G1883" s="86"/>
      <c r="H1883" s="87"/>
      <c r="I1883" s="86"/>
      <c r="J1883" s="87"/>
      <c r="K1883" s="86"/>
      <c r="L1883" s="86"/>
      <c r="M1883" s="87"/>
      <c r="N1883" s="86"/>
      <c r="O1883" s="87"/>
    </row>
    <row r="1884" spans="2:15">
      <c r="B1884" s="83"/>
      <c r="C1884" s="84"/>
      <c r="D1884" s="85"/>
      <c r="E1884" s="85"/>
      <c r="F1884" s="86"/>
      <c r="G1884" s="86"/>
      <c r="H1884" s="87"/>
      <c r="I1884" s="86"/>
      <c r="J1884" s="87"/>
      <c r="K1884" s="86"/>
      <c r="L1884" s="86"/>
      <c r="M1884" s="87"/>
      <c r="N1884" s="86"/>
      <c r="O1884" s="87"/>
    </row>
    <row r="1885" spans="2:15">
      <c r="B1885" s="83"/>
      <c r="C1885" s="84"/>
      <c r="D1885" s="85"/>
      <c r="E1885" s="85"/>
      <c r="F1885" s="86"/>
      <c r="G1885" s="86"/>
      <c r="H1885" s="87"/>
      <c r="I1885" s="86"/>
      <c r="J1885" s="87"/>
      <c r="K1885" s="86"/>
      <c r="L1885" s="86"/>
      <c r="M1885" s="87"/>
      <c r="N1885" s="86"/>
      <c r="O1885" s="87"/>
    </row>
    <row r="1886" spans="2:15">
      <c r="B1886" s="83"/>
      <c r="C1886" s="84"/>
      <c r="D1886" s="85"/>
      <c r="E1886" s="85"/>
      <c r="F1886" s="86"/>
      <c r="G1886" s="86"/>
      <c r="H1886" s="87"/>
      <c r="I1886" s="86"/>
      <c r="J1886" s="87"/>
      <c r="K1886" s="86"/>
      <c r="L1886" s="86"/>
      <c r="M1886" s="87"/>
      <c r="N1886" s="86"/>
      <c r="O1886" s="87"/>
    </row>
    <row r="1887" spans="2:15">
      <c r="B1887" s="83"/>
      <c r="C1887" s="84"/>
      <c r="D1887" s="85"/>
      <c r="E1887" s="85"/>
      <c r="F1887" s="86"/>
      <c r="G1887" s="86"/>
      <c r="H1887" s="87"/>
      <c r="I1887" s="86"/>
      <c r="J1887" s="87"/>
      <c r="K1887" s="86"/>
      <c r="L1887" s="86"/>
      <c r="M1887" s="87"/>
      <c r="N1887" s="86"/>
      <c r="O1887" s="87"/>
    </row>
    <row r="1888" spans="2:15">
      <c r="B1888" s="83"/>
      <c r="C1888" s="84"/>
      <c r="D1888" s="85"/>
      <c r="E1888" s="85"/>
      <c r="F1888" s="86"/>
      <c r="G1888" s="86"/>
      <c r="H1888" s="87"/>
      <c r="I1888" s="86"/>
      <c r="J1888" s="87"/>
      <c r="K1888" s="86"/>
      <c r="L1888" s="86"/>
      <c r="M1888" s="87"/>
      <c r="N1888" s="86"/>
      <c r="O1888" s="87"/>
    </row>
    <row r="1889" spans="2:15">
      <c r="B1889" s="83"/>
      <c r="C1889" s="84"/>
      <c r="D1889" s="85"/>
      <c r="E1889" s="85"/>
      <c r="F1889" s="86"/>
      <c r="G1889" s="86"/>
      <c r="H1889" s="87"/>
      <c r="I1889" s="86"/>
      <c r="J1889" s="87"/>
      <c r="K1889" s="86"/>
      <c r="L1889" s="86"/>
      <c r="M1889" s="87"/>
      <c r="N1889" s="86"/>
      <c r="O1889" s="87"/>
    </row>
    <row r="1890" spans="2:15">
      <c r="B1890" s="83"/>
      <c r="C1890" s="84"/>
      <c r="D1890" s="85"/>
      <c r="E1890" s="85"/>
      <c r="F1890" s="86"/>
      <c r="G1890" s="86"/>
      <c r="H1890" s="87"/>
      <c r="I1890" s="86"/>
      <c r="J1890" s="87"/>
      <c r="K1890" s="86"/>
      <c r="L1890" s="86"/>
      <c r="M1890" s="87"/>
      <c r="N1890" s="86"/>
      <c r="O1890" s="87"/>
    </row>
    <row r="1891" spans="2:15">
      <c r="B1891" s="83"/>
      <c r="C1891" s="84"/>
      <c r="D1891" s="85"/>
      <c r="E1891" s="85"/>
      <c r="F1891" s="86"/>
      <c r="G1891" s="86"/>
      <c r="H1891" s="87"/>
      <c r="I1891" s="86"/>
      <c r="J1891" s="87"/>
      <c r="K1891" s="86"/>
      <c r="L1891" s="86"/>
      <c r="M1891" s="87"/>
      <c r="N1891" s="86"/>
      <c r="O1891" s="87"/>
    </row>
    <row r="1892" spans="2:15">
      <c r="B1892" s="83"/>
      <c r="C1892" s="84"/>
      <c r="D1892" s="85"/>
      <c r="E1892" s="85"/>
      <c r="F1892" s="86"/>
      <c r="G1892" s="86"/>
      <c r="H1892" s="87"/>
      <c r="I1892" s="86"/>
      <c r="J1892" s="87"/>
      <c r="K1892" s="86"/>
      <c r="L1892" s="86"/>
      <c r="M1892" s="87"/>
      <c r="N1892" s="86"/>
      <c r="O1892" s="87"/>
    </row>
    <row r="1893" spans="2:15">
      <c r="B1893" s="83"/>
      <c r="C1893" s="84"/>
      <c r="D1893" s="85"/>
      <c r="E1893" s="85"/>
      <c r="F1893" s="86"/>
      <c r="G1893" s="86"/>
      <c r="H1893" s="87"/>
      <c r="I1893" s="86"/>
      <c r="J1893" s="87"/>
      <c r="K1893" s="86"/>
      <c r="L1893" s="86"/>
      <c r="M1893" s="87"/>
      <c r="N1893" s="86"/>
      <c r="O1893" s="87"/>
    </row>
    <row r="1894" spans="2:15">
      <c r="B1894" s="83"/>
      <c r="C1894" s="84"/>
      <c r="D1894" s="85"/>
      <c r="E1894" s="85"/>
      <c r="F1894" s="86"/>
      <c r="G1894" s="86"/>
      <c r="H1894" s="87"/>
      <c r="I1894" s="86"/>
      <c r="J1894" s="87"/>
      <c r="K1894" s="86"/>
      <c r="L1894" s="86"/>
      <c r="M1894" s="87"/>
      <c r="N1894" s="86"/>
      <c r="O1894" s="87"/>
    </row>
    <row r="1895" spans="2:15">
      <c r="B1895" s="83"/>
      <c r="C1895" s="84"/>
      <c r="D1895" s="85"/>
      <c r="E1895" s="85"/>
      <c r="F1895" s="86"/>
      <c r="G1895" s="86"/>
      <c r="H1895" s="87"/>
      <c r="I1895" s="86"/>
      <c r="J1895" s="87"/>
      <c r="K1895" s="86"/>
      <c r="L1895" s="86"/>
      <c r="M1895" s="87"/>
      <c r="N1895" s="86"/>
      <c r="O1895" s="87"/>
    </row>
    <row r="1896" spans="2:15">
      <c r="B1896" s="83"/>
      <c r="C1896" s="84"/>
      <c r="D1896" s="85"/>
      <c r="E1896" s="85"/>
      <c r="F1896" s="86"/>
      <c r="G1896" s="86"/>
      <c r="H1896" s="87"/>
      <c r="I1896" s="86"/>
      <c r="J1896" s="87"/>
      <c r="K1896" s="86"/>
      <c r="L1896" s="86"/>
      <c r="M1896" s="87"/>
      <c r="N1896" s="86"/>
      <c r="O1896" s="87"/>
    </row>
    <row r="1897" spans="2:15">
      <c r="B1897" s="83"/>
      <c r="C1897" s="84"/>
      <c r="D1897" s="85"/>
      <c r="E1897" s="85"/>
      <c r="F1897" s="86"/>
      <c r="G1897" s="86"/>
      <c r="H1897" s="87"/>
      <c r="I1897" s="86"/>
      <c r="J1897" s="87"/>
      <c r="K1897" s="86"/>
      <c r="L1897" s="86"/>
      <c r="M1897" s="87"/>
      <c r="N1897" s="86"/>
      <c r="O1897" s="87"/>
    </row>
    <row r="1898" spans="2:15">
      <c r="B1898" s="83"/>
      <c r="C1898" s="84"/>
      <c r="D1898" s="85"/>
      <c r="E1898" s="85"/>
      <c r="F1898" s="86"/>
      <c r="G1898" s="86"/>
      <c r="H1898" s="87"/>
      <c r="I1898" s="86"/>
      <c r="J1898" s="87"/>
      <c r="K1898" s="86"/>
      <c r="L1898" s="86"/>
      <c r="M1898" s="87"/>
      <c r="N1898" s="86"/>
      <c r="O1898" s="87"/>
    </row>
    <row r="1899" spans="2:15">
      <c r="B1899" s="83"/>
      <c r="C1899" s="84"/>
      <c r="D1899" s="85"/>
      <c r="E1899" s="85"/>
      <c r="F1899" s="86"/>
      <c r="G1899" s="86"/>
      <c r="H1899" s="87"/>
      <c r="I1899" s="86"/>
      <c r="J1899" s="87"/>
      <c r="K1899" s="86"/>
      <c r="L1899" s="86"/>
      <c r="M1899" s="87"/>
      <c r="N1899" s="86"/>
      <c r="O1899" s="87"/>
    </row>
    <row r="1900" spans="2:15">
      <c r="B1900" s="83"/>
      <c r="C1900" s="84"/>
      <c r="D1900" s="85"/>
      <c r="E1900" s="85"/>
      <c r="F1900" s="86"/>
      <c r="G1900" s="86"/>
      <c r="H1900" s="87"/>
      <c r="I1900" s="86"/>
      <c r="J1900" s="87"/>
      <c r="K1900" s="86"/>
      <c r="L1900" s="86"/>
      <c r="M1900" s="87"/>
      <c r="N1900" s="86"/>
      <c r="O1900" s="87"/>
    </row>
    <row r="1901" spans="2:15">
      <c r="B1901" s="83"/>
      <c r="C1901" s="84"/>
      <c r="D1901" s="85"/>
      <c r="E1901" s="85"/>
      <c r="F1901" s="86"/>
      <c r="G1901" s="86"/>
      <c r="H1901" s="87"/>
      <c r="I1901" s="86"/>
      <c r="J1901" s="87"/>
      <c r="K1901" s="86"/>
      <c r="L1901" s="86"/>
      <c r="M1901" s="87"/>
      <c r="N1901" s="86"/>
      <c r="O1901" s="87"/>
    </row>
    <row r="1902" spans="2:15">
      <c r="B1902" s="83"/>
      <c r="C1902" s="84"/>
      <c r="D1902" s="85"/>
      <c r="E1902" s="85"/>
      <c r="F1902" s="86"/>
      <c r="G1902" s="86"/>
      <c r="H1902" s="87"/>
      <c r="I1902" s="86"/>
      <c r="J1902" s="87"/>
      <c r="K1902" s="86"/>
      <c r="L1902" s="86"/>
      <c r="M1902" s="87"/>
      <c r="N1902" s="86"/>
      <c r="O1902" s="87"/>
    </row>
    <row r="1903" spans="2:15">
      <c r="B1903" s="83"/>
      <c r="C1903" s="84"/>
      <c r="D1903" s="85"/>
      <c r="E1903" s="85"/>
      <c r="F1903" s="86"/>
      <c r="G1903" s="86"/>
      <c r="H1903" s="87"/>
      <c r="I1903" s="86"/>
      <c r="J1903" s="87"/>
      <c r="K1903" s="86"/>
      <c r="L1903" s="86"/>
      <c r="M1903" s="87"/>
      <c r="N1903" s="86"/>
      <c r="O1903" s="87"/>
    </row>
    <row r="1904" spans="2:15">
      <c r="B1904" s="83"/>
      <c r="C1904" s="84"/>
      <c r="D1904" s="85"/>
      <c r="E1904" s="85"/>
      <c r="F1904" s="86"/>
      <c r="G1904" s="86"/>
      <c r="H1904" s="87"/>
      <c r="I1904" s="86"/>
      <c r="J1904" s="87"/>
      <c r="K1904" s="86"/>
      <c r="L1904" s="86"/>
      <c r="M1904" s="87"/>
      <c r="N1904" s="86"/>
      <c r="O1904" s="87"/>
    </row>
    <row r="1905" spans="2:15">
      <c r="B1905" s="83"/>
      <c r="C1905" s="84"/>
      <c r="D1905" s="85"/>
      <c r="E1905" s="85"/>
      <c r="F1905" s="86"/>
      <c r="G1905" s="86"/>
      <c r="H1905" s="87"/>
      <c r="I1905" s="86"/>
      <c r="J1905" s="87"/>
      <c r="K1905" s="86"/>
      <c r="L1905" s="86"/>
      <c r="M1905" s="87"/>
      <c r="N1905" s="86"/>
      <c r="O1905" s="87"/>
    </row>
    <row r="1906" spans="2:15">
      <c r="B1906" s="83"/>
      <c r="C1906" s="84"/>
      <c r="D1906" s="85"/>
      <c r="E1906" s="85"/>
      <c r="F1906" s="86"/>
      <c r="G1906" s="86"/>
      <c r="H1906" s="87"/>
      <c r="I1906" s="86"/>
      <c r="J1906" s="87"/>
      <c r="K1906" s="86"/>
      <c r="L1906" s="86"/>
      <c r="M1906" s="87"/>
      <c r="N1906" s="86"/>
      <c r="O1906" s="87"/>
    </row>
    <row r="1907" spans="2:15">
      <c r="B1907" s="83"/>
      <c r="C1907" s="84"/>
      <c r="D1907" s="85"/>
      <c r="E1907" s="85"/>
      <c r="F1907" s="86"/>
      <c r="G1907" s="86"/>
      <c r="H1907" s="87"/>
      <c r="I1907" s="86"/>
      <c r="J1907" s="87"/>
      <c r="K1907" s="86"/>
      <c r="L1907" s="86"/>
      <c r="M1907" s="87"/>
      <c r="N1907" s="86"/>
      <c r="O1907" s="87"/>
    </row>
    <row r="1908" spans="2:15">
      <c r="B1908" s="83"/>
      <c r="C1908" s="84"/>
      <c r="D1908" s="85"/>
      <c r="E1908" s="85"/>
      <c r="F1908" s="86"/>
      <c r="G1908" s="86"/>
      <c r="H1908" s="87"/>
      <c r="I1908" s="86"/>
      <c r="J1908" s="87"/>
      <c r="K1908" s="86"/>
      <c r="L1908" s="86"/>
      <c r="M1908" s="87"/>
      <c r="N1908" s="86"/>
      <c r="O1908" s="87"/>
    </row>
    <row r="1909" spans="2:15">
      <c r="B1909" s="83"/>
      <c r="C1909" s="84"/>
      <c r="D1909" s="85"/>
      <c r="E1909" s="85"/>
      <c r="F1909" s="86"/>
      <c r="G1909" s="86"/>
      <c r="H1909" s="87"/>
      <c r="I1909" s="86"/>
      <c r="J1909" s="87"/>
      <c r="K1909" s="86"/>
      <c r="L1909" s="86"/>
      <c r="M1909" s="87"/>
      <c r="N1909" s="86"/>
      <c r="O1909" s="87"/>
    </row>
    <row r="1910" spans="2:15">
      <c r="B1910" s="83"/>
      <c r="C1910" s="84"/>
      <c r="D1910" s="85"/>
      <c r="E1910" s="85"/>
      <c r="F1910" s="86"/>
      <c r="G1910" s="86"/>
      <c r="H1910" s="87"/>
      <c r="I1910" s="86"/>
      <c r="J1910" s="87"/>
      <c r="K1910" s="86"/>
      <c r="L1910" s="86"/>
      <c r="M1910" s="87"/>
      <c r="N1910" s="86"/>
      <c r="O1910" s="87"/>
    </row>
    <row r="1911" spans="2:15">
      <c r="B1911" s="83"/>
      <c r="C1911" s="84"/>
      <c r="D1911" s="85"/>
      <c r="E1911" s="85"/>
      <c r="F1911" s="86"/>
      <c r="G1911" s="86"/>
      <c r="H1911" s="87"/>
      <c r="I1911" s="86"/>
      <c r="J1911" s="87"/>
      <c r="K1911" s="86"/>
      <c r="L1911" s="86"/>
      <c r="M1911" s="87"/>
      <c r="N1911" s="86"/>
      <c r="O1911" s="87"/>
    </row>
    <row r="1912" spans="2:15">
      <c r="B1912" s="83"/>
      <c r="C1912" s="84"/>
      <c r="D1912" s="85"/>
      <c r="E1912" s="85"/>
      <c r="F1912" s="86"/>
      <c r="G1912" s="86"/>
      <c r="H1912" s="87"/>
      <c r="I1912" s="86"/>
      <c r="J1912" s="87"/>
      <c r="K1912" s="86"/>
      <c r="L1912" s="86"/>
      <c r="M1912" s="87"/>
      <c r="N1912" s="86"/>
      <c r="O1912" s="87"/>
    </row>
    <row r="1913" spans="2:15">
      <c r="B1913" s="83"/>
      <c r="C1913" s="84"/>
      <c r="D1913" s="85"/>
      <c r="E1913" s="85"/>
      <c r="F1913" s="86"/>
      <c r="G1913" s="86"/>
      <c r="H1913" s="87"/>
      <c r="I1913" s="86"/>
      <c r="J1913" s="87"/>
      <c r="K1913" s="86"/>
      <c r="L1913" s="86"/>
      <c r="M1913" s="87"/>
      <c r="N1913" s="86"/>
      <c r="O1913" s="87"/>
    </row>
    <row r="1914" spans="2:15">
      <c r="B1914" s="83"/>
      <c r="C1914" s="84"/>
      <c r="D1914" s="85"/>
      <c r="E1914" s="85"/>
      <c r="F1914" s="86"/>
      <c r="G1914" s="86"/>
      <c r="H1914" s="87"/>
      <c r="I1914" s="86"/>
      <c r="J1914" s="87"/>
      <c r="K1914" s="86"/>
      <c r="L1914" s="86"/>
      <c r="M1914" s="87"/>
      <c r="N1914" s="86"/>
      <c r="O1914" s="87"/>
    </row>
    <row r="1915" spans="2:15">
      <c r="B1915" s="83"/>
      <c r="C1915" s="84"/>
      <c r="D1915" s="85"/>
      <c r="E1915" s="85"/>
      <c r="F1915" s="86"/>
      <c r="G1915" s="86"/>
      <c r="H1915" s="87"/>
      <c r="I1915" s="86"/>
      <c r="J1915" s="87"/>
      <c r="K1915" s="86"/>
      <c r="L1915" s="86"/>
      <c r="M1915" s="87"/>
      <c r="N1915" s="86"/>
      <c r="O1915" s="87"/>
    </row>
    <row r="1916" spans="2:15">
      <c r="B1916" s="83"/>
      <c r="C1916" s="84"/>
      <c r="D1916" s="85"/>
      <c r="E1916" s="85"/>
      <c r="F1916" s="86"/>
      <c r="G1916" s="86"/>
      <c r="H1916" s="87"/>
      <c r="I1916" s="86"/>
      <c r="J1916" s="87"/>
      <c r="K1916" s="86"/>
      <c r="L1916" s="86"/>
      <c r="M1916" s="87"/>
      <c r="N1916" s="86"/>
      <c r="O1916" s="87"/>
    </row>
    <row r="1917" spans="2:15">
      <c r="B1917" s="83"/>
      <c r="C1917" s="84"/>
      <c r="D1917" s="85"/>
      <c r="E1917" s="85"/>
      <c r="F1917" s="86"/>
      <c r="G1917" s="86"/>
      <c r="H1917" s="87"/>
      <c r="I1917" s="86"/>
      <c r="J1917" s="87"/>
      <c r="K1917" s="86"/>
      <c r="L1917" s="86"/>
      <c r="M1917" s="87"/>
      <c r="N1917" s="86"/>
      <c r="O1917" s="87"/>
    </row>
    <row r="1918" spans="2:15">
      <c r="B1918" s="83"/>
      <c r="C1918" s="84"/>
      <c r="D1918" s="85"/>
      <c r="E1918" s="85"/>
      <c r="F1918" s="86"/>
      <c r="G1918" s="86"/>
      <c r="H1918" s="87"/>
      <c r="I1918" s="86"/>
      <c r="J1918" s="87"/>
      <c r="K1918" s="86"/>
      <c r="L1918" s="86"/>
      <c r="M1918" s="87"/>
      <c r="N1918" s="86"/>
      <c r="O1918" s="87"/>
    </row>
    <row r="1919" spans="2:15">
      <c r="B1919" s="83"/>
      <c r="C1919" s="84"/>
      <c r="D1919" s="85"/>
      <c r="E1919" s="85"/>
      <c r="F1919" s="86"/>
      <c r="G1919" s="86"/>
      <c r="H1919" s="87"/>
      <c r="I1919" s="86"/>
      <c r="J1919" s="87"/>
      <c r="K1919" s="86"/>
      <c r="L1919" s="86"/>
      <c r="M1919" s="87"/>
      <c r="N1919" s="86"/>
      <c r="O1919" s="87"/>
    </row>
    <row r="1920" spans="2:15">
      <c r="B1920" s="83"/>
      <c r="C1920" s="84"/>
      <c r="D1920" s="85"/>
      <c r="E1920" s="85"/>
      <c r="F1920" s="86"/>
      <c r="G1920" s="86"/>
      <c r="H1920" s="87"/>
      <c r="I1920" s="86"/>
      <c r="J1920" s="87"/>
      <c r="K1920" s="86"/>
      <c r="L1920" s="86"/>
      <c r="M1920" s="87"/>
      <c r="N1920" s="86"/>
      <c r="O1920" s="87"/>
    </row>
    <row r="1921" spans="2:15">
      <c r="B1921" s="83"/>
      <c r="C1921" s="84"/>
      <c r="D1921" s="85"/>
      <c r="E1921" s="85"/>
      <c r="F1921" s="86"/>
      <c r="G1921" s="86"/>
      <c r="H1921" s="87"/>
      <c r="I1921" s="86"/>
      <c r="J1921" s="87"/>
      <c r="K1921" s="86"/>
      <c r="L1921" s="86"/>
      <c r="M1921" s="87"/>
      <c r="N1921" s="86"/>
      <c r="O1921" s="87"/>
    </row>
    <row r="1922" spans="2:15">
      <c r="B1922" s="83"/>
      <c r="C1922" s="84"/>
      <c r="D1922" s="85"/>
      <c r="E1922" s="85"/>
      <c r="F1922" s="86"/>
      <c r="G1922" s="86"/>
      <c r="H1922" s="87"/>
      <c r="I1922" s="86"/>
      <c r="J1922" s="87"/>
      <c r="K1922" s="86"/>
      <c r="L1922" s="86"/>
      <c r="M1922" s="87"/>
      <c r="N1922" s="86"/>
      <c r="O1922" s="87"/>
    </row>
    <row r="1923" spans="2:15">
      <c r="B1923" s="83"/>
      <c r="C1923" s="84"/>
      <c r="D1923" s="85"/>
      <c r="E1923" s="85"/>
      <c r="F1923" s="86"/>
      <c r="G1923" s="86"/>
      <c r="H1923" s="87"/>
      <c r="I1923" s="86"/>
      <c r="J1923" s="87"/>
      <c r="K1923" s="86"/>
      <c r="L1923" s="86"/>
      <c r="M1923" s="87"/>
      <c r="N1923" s="86"/>
      <c r="O1923" s="87"/>
    </row>
    <row r="1924" spans="2:15">
      <c r="B1924" s="83"/>
      <c r="C1924" s="84"/>
      <c r="D1924" s="85"/>
      <c r="E1924" s="85"/>
      <c r="F1924" s="86"/>
      <c r="G1924" s="86"/>
      <c r="H1924" s="87"/>
      <c r="I1924" s="86"/>
      <c r="J1924" s="87"/>
      <c r="K1924" s="86"/>
      <c r="L1924" s="86"/>
      <c r="M1924" s="87"/>
      <c r="N1924" s="86"/>
      <c r="O1924" s="87"/>
    </row>
    <row r="1925" spans="2:15">
      <c r="B1925" s="83"/>
      <c r="C1925" s="84"/>
      <c r="D1925" s="85"/>
      <c r="E1925" s="85"/>
      <c r="F1925" s="86"/>
      <c r="G1925" s="86"/>
      <c r="H1925" s="87"/>
      <c r="I1925" s="86"/>
      <c r="J1925" s="87"/>
      <c r="K1925" s="86"/>
      <c r="L1925" s="86"/>
      <c r="M1925" s="87"/>
      <c r="N1925" s="86"/>
      <c r="O1925" s="87"/>
    </row>
    <row r="1926" spans="2:15">
      <c r="B1926" s="83"/>
      <c r="C1926" s="84"/>
      <c r="D1926" s="85"/>
      <c r="E1926" s="85"/>
      <c r="F1926" s="86"/>
      <c r="G1926" s="86"/>
      <c r="H1926" s="87"/>
      <c r="I1926" s="86"/>
      <c r="J1926" s="87"/>
      <c r="K1926" s="86"/>
      <c r="L1926" s="86"/>
      <c r="M1926" s="87"/>
      <c r="N1926" s="86"/>
      <c r="O1926" s="87"/>
    </row>
    <row r="1927" spans="2:15">
      <c r="B1927" s="83"/>
      <c r="C1927" s="84"/>
      <c r="D1927" s="85"/>
      <c r="E1927" s="85"/>
      <c r="F1927" s="86"/>
      <c r="G1927" s="86"/>
      <c r="H1927" s="87"/>
      <c r="I1927" s="86"/>
      <c r="J1927" s="87"/>
      <c r="K1927" s="86"/>
      <c r="L1927" s="86"/>
      <c r="M1927" s="87"/>
      <c r="N1927" s="86"/>
      <c r="O1927" s="87"/>
    </row>
    <row r="1928" spans="2:15">
      <c r="B1928" s="83"/>
      <c r="C1928" s="84"/>
      <c r="D1928" s="85"/>
      <c r="E1928" s="85"/>
      <c r="F1928" s="86"/>
      <c r="G1928" s="86"/>
      <c r="H1928" s="87"/>
      <c r="I1928" s="86"/>
      <c r="J1928" s="87"/>
      <c r="K1928" s="86"/>
      <c r="L1928" s="86"/>
      <c r="M1928" s="87"/>
      <c r="N1928" s="86"/>
      <c r="O1928" s="87"/>
    </row>
    <row r="1929" spans="2:15">
      <c r="B1929" s="83"/>
      <c r="C1929" s="84"/>
      <c r="D1929" s="85"/>
      <c r="E1929" s="85"/>
      <c r="F1929" s="86"/>
      <c r="G1929" s="86"/>
      <c r="H1929" s="87"/>
      <c r="I1929" s="86"/>
      <c r="J1929" s="87"/>
      <c r="K1929" s="86"/>
      <c r="L1929" s="86"/>
      <c r="M1929" s="87"/>
      <c r="N1929" s="86"/>
      <c r="O1929" s="87"/>
    </row>
    <row r="1930" spans="2:15">
      <c r="B1930" s="83"/>
      <c r="C1930" s="84"/>
      <c r="D1930" s="85"/>
      <c r="E1930" s="85"/>
      <c r="F1930" s="86"/>
      <c r="G1930" s="86"/>
      <c r="H1930" s="87"/>
      <c r="I1930" s="86"/>
      <c r="J1930" s="87"/>
      <c r="K1930" s="86"/>
      <c r="L1930" s="86"/>
      <c r="M1930" s="87"/>
      <c r="N1930" s="86"/>
      <c r="O1930" s="87"/>
    </row>
    <row r="1931" spans="2:15">
      <c r="B1931" s="83"/>
      <c r="C1931" s="84"/>
      <c r="D1931" s="85"/>
      <c r="E1931" s="85"/>
      <c r="F1931" s="86"/>
      <c r="G1931" s="86"/>
      <c r="H1931" s="87"/>
      <c r="I1931" s="86"/>
      <c r="J1931" s="87"/>
      <c r="K1931" s="86"/>
      <c r="L1931" s="86"/>
      <c r="M1931" s="87"/>
      <c r="N1931" s="86"/>
      <c r="O1931" s="87"/>
    </row>
    <row r="1932" spans="2:15">
      <c r="B1932" s="83"/>
      <c r="C1932" s="84"/>
      <c r="D1932" s="85"/>
      <c r="E1932" s="85"/>
      <c r="F1932" s="86"/>
      <c r="G1932" s="86"/>
      <c r="H1932" s="87"/>
      <c r="I1932" s="86"/>
      <c r="J1932" s="87"/>
      <c r="K1932" s="86"/>
      <c r="L1932" s="86"/>
      <c r="M1932" s="87"/>
      <c r="N1932" s="86"/>
      <c r="O1932" s="87"/>
    </row>
    <row r="1933" spans="2:15">
      <c r="B1933" s="83"/>
      <c r="C1933" s="84"/>
      <c r="D1933" s="85"/>
      <c r="E1933" s="85"/>
      <c r="F1933" s="86"/>
      <c r="G1933" s="86"/>
      <c r="H1933" s="87"/>
      <c r="I1933" s="86"/>
      <c r="J1933" s="87"/>
      <c r="K1933" s="86"/>
      <c r="L1933" s="86"/>
      <c r="M1933" s="87"/>
      <c r="N1933" s="86"/>
      <c r="O1933" s="87"/>
    </row>
    <row r="1934" spans="2:15">
      <c r="B1934" s="83"/>
      <c r="C1934" s="84"/>
      <c r="D1934" s="85"/>
      <c r="E1934" s="85"/>
      <c r="F1934" s="86"/>
      <c r="G1934" s="86"/>
      <c r="H1934" s="87"/>
      <c r="I1934" s="86"/>
      <c r="J1934" s="87"/>
      <c r="K1934" s="86"/>
      <c r="L1934" s="86"/>
      <c r="M1934" s="87"/>
      <c r="N1934" s="86"/>
      <c r="O1934" s="87"/>
    </row>
    <row r="1935" spans="2:15">
      <c r="B1935" s="83"/>
      <c r="C1935" s="84"/>
      <c r="D1935" s="85"/>
      <c r="E1935" s="85"/>
      <c r="F1935" s="86"/>
      <c r="G1935" s="86"/>
      <c r="H1935" s="87"/>
      <c r="I1935" s="86"/>
      <c r="J1935" s="87"/>
      <c r="K1935" s="86"/>
      <c r="L1935" s="86"/>
      <c r="M1935" s="87"/>
      <c r="N1935" s="86"/>
      <c r="O1935" s="87"/>
    </row>
    <row r="1936" spans="2:15">
      <c r="B1936" s="83"/>
      <c r="C1936" s="84"/>
      <c r="D1936" s="85"/>
      <c r="E1936" s="85"/>
      <c r="F1936" s="86"/>
      <c r="G1936" s="86"/>
      <c r="H1936" s="87"/>
      <c r="I1936" s="86"/>
      <c r="J1936" s="87"/>
      <c r="K1936" s="86"/>
      <c r="L1936" s="86"/>
      <c r="M1936" s="87"/>
      <c r="N1936" s="86"/>
      <c r="O1936" s="87"/>
    </row>
    <row r="1937" spans="2:15">
      <c r="B1937" s="83"/>
      <c r="C1937" s="84"/>
      <c r="D1937" s="85"/>
      <c r="E1937" s="85"/>
      <c r="F1937" s="86"/>
      <c r="G1937" s="86"/>
      <c r="H1937" s="87"/>
      <c r="I1937" s="86"/>
      <c r="J1937" s="87"/>
      <c r="K1937" s="86"/>
      <c r="L1937" s="86"/>
      <c r="M1937" s="87"/>
      <c r="N1937" s="86"/>
      <c r="O1937" s="87"/>
    </row>
    <row r="1938" spans="2:15">
      <c r="B1938" s="83"/>
      <c r="C1938" s="84"/>
      <c r="D1938" s="85"/>
      <c r="E1938" s="85"/>
      <c r="F1938" s="86"/>
      <c r="G1938" s="86"/>
      <c r="H1938" s="87"/>
      <c r="I1938" s="86"/>
      <c r="J1938" s="87"/>
      <c r="K1938" s="86"/>
      <c r="L1938" s="86"/>
      <c r="M1938" s="87"/>
      <c r="N1938" s="86"/>
      <c r="O1938" s="87"/>
    </row>
    <row r="1939" spans="2:15">
      <c r="B1939" s="83"/>
      <c r="C1939" s="84"/>
      <c r="D1939" s="85"/>
      <c r="E1939" s="85"/>
      <c r="F1939" s="86"/>
      <c r="G1939" s="86"/>
      <c r="H1939" s="87"/>
      <c r="I1939" s="86"/>
      <c r="J1939" s="87"/>
      <c r="K1939" s="86"/>
      <c r="L1939" s="86"/>
      <c r="M1939" s="87"/>
      <c r="N1939" s="86"/>
      <c r="O1939" s="87"/>
    </row>
    <row r="1940" spans="2:15">
      <c r="B1940" s="83"/>
      <c r="C1940" s="84"/>
      <c r="D1940" s="85"/>
      <c r="E1940" s="85"/>
      <c r="F1940" s="86"/>
      <c r="G1940" s="86"/>
      <c r="H1940" s="87"/>
      <c r="I1940" s="86"/>
      <c r="J1940" s="87"/>
      <c r="K1940" s="86"/>
      <c r="L1940" s="86"/>
      <c r="M1940" s="87"/>
      <c r="N1940" s="86"/>
      <c r="O1940" s="87"/>
    </row>
    <row r="1941" spans="2:15">
      <c r="B1941" s="83"/>
      <c r="C1941" s="84"/>
      <c r="D1941" s="85"/>
      <c r="E1941" s="85"/>
      <c r="F1941" s="86"/>
      <c r="G1941" s="86"/>
      <c r="H1941" s="87"/>
      <c r="I1941" s="86"/>
      <c r="J1941" s="87"/>
      <c r="K1941" s="86"/>
      <c r="L1941" s="86"/>
      <c r="M1941" s="87"/>
      <c r="N1941" s="86"/>
      <c r="O1941" s="87"/>
    </row>
    <row r="1942" spans="2:15">
      <c r="B1942" s="83"/>
      <c r="C1942" s="84"/>
      <c r="D1942" s="85"/>
      <c r="E1942" s="85"/>
      <c r="F1942" s="86"/>
      <c r="G1942" s="86"/>
      <c r="H1942" s="87"/>
      <c r="I1942" s="86"/>
      <c r="J1942" s="87"/>
      <c r="K1942" s="86"/>
      <c r="L1942" s="86"/>
      <c r="M1942" s="87"/>
      <c r="N1942" s="86"/>
      <c r="O1942" s="87"/>
    </row>
    <row r="1943" spans="2:15">
      <c r="B1943" s="83"/>
      <c r="C1943" s="84"/>
      <c r="D1943" s="85"/>
      <c r="E1943" s="85"/>
      <c r="F1943" s="86"/>
      <c r="G1943" s="86"/>
      <c r="H1943" s="87"/>
      <c r="I1943" s="86"/>
      <c r="J1943" s="87"/>
      <c r="K1943" s="86"/>
      <c r="L1943" s="86"/>
      <c r="M1943" s="87"/>
      <c r="N1943" s="86"/>
      <c r="O1943" s="87"/>
    </row>
    <row r="1944" spans="2:15">
      <c r="B1944" s="83"/>
      <c r="C1944" s="84"/>
      <c r="D1944" s="85"/>
      <c r="E1944" s="85"/>
      <c r="F1944" s="86"/>
      <c r="G1944" s="86"/>
      <c r="H1944" s="87"/>
      <c r="I1944" s="86"/>
      <c r="J1944" s="87"/>
      <c r="K1944" s="86"/>
      <c r="L1944" s="86"/>
      <c r="M1944" s="87"/>
      <c r="N1944" s="86"/>
      <c r="O1944" s="87"/>
    </row>
    <row r="1945" spans="2:15">
      <c r="B1945" s="83"/>
      <c r="C1945" s="84"/>
      <c r="D1945" s="85"/>
      <c r="E1945" s="85"/>
      <c r="F1945" s="86"/>
      <c r="G1945" s="86"/>
      <c r="H1945" s="87"/>
      <c r="I1945" s="86"/>
      <c r="J1945" s="87"/>
      <c r="K1945" s="86"/>
      <c r="L1945" s="86"/>
      <c r="M1945" s="87"/>
      <c r="N1945" s="86"/>
      <c r="O1945" s="87"/>
    </row>
    <row r="1946" spans="2:15">
      <c r="B1946" s="83"/>
      <c r="C1946" s="84"/>
      <c r="D1946" s="85"/>
      <c r="E1946" s="85"/>
      <c r="F1946" s="86"/>
      <c r="G1946" s="86"/>
      <c r="H1946" s="87"/>
      <c r="I1946" s="86"/>
      <c r="J1946" s="87"/>
      <c r="K1946" s="86"/>
      <c r="L1946" s="86"/>
      <c r="M1946" s="87"/>
      <c r="N1946" s="86"/>
      <c r="O1946" s="87"/>
    </row>
    <row r="1947" spans="2:15">
      <c r="B1947" s="83"/>
      <c r="C1947" s="84"/>
      <c r="D1947" s="85"/>
      <c r="E1947" s="85"/>
      <c r="F1947" s="86"/>
      <c r="G1947" s="86"/>
      <c r="H1947" s="87"/>
      <c r="I1947" s="86"/>
      <c r="J1947" s="87"/>
      <c r="K1947" s="86"/>
      <c r="L1947" s="86"/>
      <c r="M1947" s="87"/>
      <c r="N1947" s="86"/>
      <c r="O1947" s="87"/>
    </row>
    <row r="1948" spans="2:15">
      <c r="B1948" s="83"/>
      <c r="C1948" s="84"/>
      <c r="D1948" s="85"/>
      <c r="E1948" s="85"/>
      <c r="F1948" s="86"/>
      <c r="G1948" s="86"/>
      <c r="H1948" s="87"/>
      <c r="I1948" s="86"/>
      <c r="J1948" s="87"/>
      <c r="K1948" s="86"/>
      <c r="L1948" s="86"/>
      <c r="M1948" s="87"/>
      <c r="N1948" s="86"/>
      <c r="O1948" s="87"/>
    </row>
    <row r="1949" spans="2:15">
      <c r="B1949" s="83"/>
      <c r="C1949" s="84"/>
      <c r="D1949" s="85"/>
      <c r="E1949" s="85"/>
      <c r="F1949" s="86"/>
      <c r="G1949" s="86"/>
      <c r="H1949" s="87"/>
      <c r="I1949" s="86"/>
      <c r="J1949" s="87"/>
      <c r="K1949" s="86"/>
      <c r="L1949" s="86"/>
      <c r="M1949" s="87"/>
      <c r="N1949" s="86"/>
      <c r="O1949" s="87"/>
    </row>
    <row r="1950" spans="2:15">
      <c r="B1950" s="83"/>
      <c r="C1950" s="84"/>
      <c r="D1950" s="85"/>
      <c r="E1950" s="85"/>
      <c r="F1950" s="86"/>
      <c r="G1950" s="86"/>
      <c r="H1950" s="87"/>
      <c r="I1950" s="86"/>
      <c r="J1950" s="87"/>
      <c r="K1950" s="86"/>
      <c r="L1950" s="86"/>
      <c r="M1950" s="87"/>
      <c r="N1950" s="86"/>
      <c r="O1950" s="87"/>
    </row>
    <row r="1951" spans="2:15">
      <c r="B1951" s="83"/>
      <c r="C1951" s="84"/>
      <c r="D1951" s="85"/>
      <c r="E1951" s="85"/>
      <c r="F1951" s="86"/>
      <c r="G1951" s="86"/>
      <c r="H1951" s="87"/>
      <c r="I1951" s="86"/>
      <c r="J1951" s="87"/>
      <c r="K1951" s="86"/>
      <c r="L1951" s="86"/>
      <c r="M1951" s="87"/>
      <c r="N1951" s="86"/>
      <c r="O1951" s="87"/>
    </row>
    <row r="1952" spans="2:15">
      <c r="B1952" s="83"/>
      <c r="C1952" s="84"/>
      <c r="D1952" s="85"/>
      <c r="E1952" s="85"/>
      <c r="F1952" s="86"/>
      <c r="G1952" s="86"/>
      <c r="H1952" s="87"/>
      <c r="I1952" s="86"/>
      <c r="J1952" s="87"/>
      <c r="K1952" s="86"/>
      <c r="L1952" s="86"/>
      <c r="M1952" s="87"/>
      <c r="N1952" s="86"/>
      <c r="O1952" s="87"/>
    </row>
    <row r="1953" spans="2:15">
      <c r="B1953" s="83"/>
      <c r="C1953" s="84"/>
      <c r="D1953" s="85"/>
      <c r="E1953" s="85"/>
      <c r="F1953" s="86"/>
      <c r="G1953" s="86"/>
      <c r="H1953" s="87"/>
      <c r="I1953" s="86"/>
      <c r="J1953" s="87"/>
      <c r="K1953" s="86"/>
      <c r="L1953" s="86"/>
      <c r="M1953" s="87"/>
      <c r="N1953" s="86"/>
      <c r="O1953" s="87"/>
    </row>
    <row r="1954" spans="2:15">
      <c r="B1954" s="83"/>
      <c r="C1954" s="84"/>
      <c r="D1954" s="85"/>
      <c r="E1954" s="85"/>
      <c r="F1954" s="86"/>
      <c r="G1954" s="86"/>
      <c r="H1954" s="87"/>
      <c r="I1954" s="86"/>
      <c r="J1954" s="87"/>
      <c r="K1954" s="86"/>
      <c r="L1954" s="86"/>
      <c r="M1954" s="87"/>
      <c r="N1954" s="86"/>
      <c r="O1954" s="87"/>
    </row>
    <row r="1955" spans="2:15">
      <c r="B1955" s="83"/>
      <c r="C1955" s="84"/>
      <c r="D1955" s="85"/>
      <c r="E1955" s="85"/>
      <c r="F1955" s="86"/>
      <c r="G1955" s="86"/>
      <c r="H1955" s="87"/>
      <c r="I1955" s="86"/>
      <c r="J1955" s="87"/>
      <c r="K1955" s="86"/>
      <c r="L1955" s="86"/>
      <c r="M1955" s="87"/>
      <c r="N1955" s="86"/>
      <c r="O1955" s="87"/>
    </row>
    <row r="1956" spans="2:15">
      <c r="B1956" s="83"/>
      <c r="C1956" s="84"/>
      <c r="D1956" s="85"/>
      <c r="E1956" s="85"/>
      <c r="F1956" s="86"/>
      <c r="G1956" s="86"/>
      <c r="H1956" s="87"/>
      <c r="I1956" s="86"/>
      <c r="J1956" s="87"/>
      <c r="K1956" s="86"/>
      <c r="L1956" s="86"/>
      <c r="M1956" s="87"/>
      <c r="N1956" s="86"/>
      <c r="O1956" s="87"/>
    </row>
    <row r="1957" spans="2:15">
      <c r="B1957" s="83"/>
      <c r="C1957" s="84"/>
      <c r="D1957" s="85"/>
      <c r="E1957" s="85"/>
      <c r="F1957" s="86"/>
      <c r="G1957" s="86"/>
      <c r="H1957" s="87"/>
      <c r="I1957" s="86"/>
      <c r="J1957" s="87"/>
      <c r="K1957" s="86"/>
      <c r="L1957" s="86"/>
      <c r="M1957" s="87"/>
      <c r="N1957" s="86"/>
      <c r="O1957" s="87"/>
    </row>
    <row r="1958" spans="2:15">
      <c r="B1958" s="83"/>
      <c r="C1958" s="84"/>
      <c r="D1958" s="85"/>
      <c r="E1958" s="85"/>
      <c r="F1958" s="86"/>
      <c r="G1958" s="86"/>
      <c r="H1958" s="87"/>
      <c r="I1958" s="86"/>
      <c r="J1958" s="87"/>
      <c r="K1958" s="86"/>
      <c r="L1958" s="86"/>
      <c r="M1958" s="87"/>
      <c r="N1958" s="86"/>
      <c r="O1958" s="87"/>
    </row>
    <row r="1959" spans="2:15">
      <c r="B1959" s="83"/>
      <c r="C1959" s="84"/>
      <c r="D1959" s="85"/>
      <c r="E1959" s="85"/>
      <c r="F1959" s="86"/>
      <c r="G1959" s="86"/>
      <c r="H1959" s="87"/>
      <c r="I1959" s="86"/>
      <c r="J1959" s="87"/>
      <c r="K1959" s="86"/>
      <c r="L1959" s="86"/>
      <c r="M1959" s="87"/>
      <c r="N1959" s="86"/>
      <c r="O1959" s="87"/>
    </row>
    <row r="1960" spans="2:15">
      <c r="B1960" s="83"/>
      <c r="C1960" s="84"/>
      <c r="D1960" s="85"/>
      <c r="E1960" s="85"/>
      <c r="F1960" s="86"/>
      <c r="G1960" s="86"/>
      <c r="H1960" s="87"/>
      <c r="I1960" s="86"/>
      <c r="J1960" s="87"/>
      <c r="K1960" s="86"/>
      <c r="L1960" s="86"/>
      <c r="M1960" s="87"/>
      <c r="N1960" s="86"/>
      <c r="O1960" s="87"/>
    </row>
    <row r="1961" spans="2:15">
      <c r="B1961" s="83"/>
      <c r="C1961" s="84"/>
      <c r="D1961" s="85"/>
      <c r="E1961" s="85"/>
      <c r="F1961" s="86"/>
      <c r="G1961" s="86"/>
      <c r="H1961" s="87"/>
      <c r="I1961" s="86"/>
      <c r="J1961" s="87"/>
      <c r="K1961" s="86"/>
      <c r="L1961" s="86"/>
      <c r="M1961" s="87"/>
      <c r="N1961" s="86"/>
      <c r="O1961" s="87"/>
    </row>
    <row r="1962" spans="2:15">
      <c r="B1962" s="83"/>
      <c r="C1962" s="84"/>
      <c r="D1962" s="85"/>
      <c r="E1962" s="85"/>
      <c r="F1962" s="86"/>
      <c r="G1962" s="86"/>
      <c r="H1962" s="87"/>
      <c r="I1962" s="86"/>
      <c r="J1962" s="87"/>
      <c r="K1962" s="86"/>
      <c r="L1962" s="86"/>
      <c r="M1962" s="87"/>
      <c r="N1962" s="86"/>
      <c r="O1962" s="87"/>
    </row>
    <row r="1963" spans="2:15">
      <c r="B1963" s="83"/>
      <c r="C1963" s="84"/>
      <c r="D1963" s="85"/>
      <c r="E1963" s="85"/>
      <c r="F1963" s="86"/>
      <c r="G1963" s="86"/>
      <c r="H1963" s="87"/>
      <c r="I1963" s="86"/>
      <c r="J1963" s="87"/>
      <c r="K1963" s="86"/>
      <c r="L1963" s="86"/>
      <c r="M1963" s="87"/>
      <c r="N1963" s="86"/>
      <c r="O1963" s="87"/>
    </row>
    <row r="1964" spans="2:15">
      <c r="B1964" s="83"/>
      <c r="C1964" s="84"/>
      <c r="D1964" s="85"/>
      <c r="E1964" s="85"/>
      <c r="F1964" s="86"/>
      <c r="G1964" s="86"/>
      <c r="H1964" s="87"/>
      <c r="I1964" s="86"/>
      <c r="J1964" s="87"/>
      <c r="K1964" s="86"/>
      <c r="L1964" s="86"/>
      <c r="M1964" s="87"/>
      <c r="N1964" s="86"/>
      <c r="O1964" s="87"/>
    </row>
    <row r="1965" spans="2:15">
      <c r="B1965" s="83"/>
      <c r="C1965" s="84"/>
      <c r="D1965" s="85"/>
      <c r="E1965" s="85"/>
      <c r="F1965" s="86"/>
      <c r="G1965" s="86"/>
      <c r="H1965" s="87"/>
      <c r="I1965" s="86"/>
      <c r="J1965" s="87"/>
      <c r="K1965" s="86"/>
      <c r="L1965" s="86"/>
      <c r="M1965" s="87"/>
      <c r="N1965" s="86"/>
      <c r="O1965" s="87"/>
    </row>
    <row r="1966" spans="2:15">
      <c r="B1966" s="83"/>
      <c r="C1966" s="84"/>
      <c r="D1966" s="85"/>
      <c r="E1966" s="85"/>
      <c r="F1966" s="86"/>
      <c r="G1966" s="86"/>
      <c r="H1966" s="87"/>
      <c r="I1966" s="86"/>
      <c r="J1966" s="87"/>
      <c r="K1966" s="86"/>
      <c r="L1966" s="86"/>
      <c r="M1966" s="87"/>
      <c r="N1966" s="86"/>
      <c r="O1966" s="87"/>
    </row>
    <row r="1967" spans="2:15">
      <c r="B1967" s="83"/>
      <c r="C1967" s="84"/>
      <c r="D1967" s="85"/>
      <c r="E1967" s="85"/>
      <c r="F1967" s="86"/>
      <c r="G1967" s="86"/>
      <c r="H1967" s="87"/>
      <c r="I1967" s="86"/>
      <c r="J1967" s="87"/>
      <c r="K1967" s="86"/>
      <c r="L1967" s="86"/>
      <c r="M1967" s="87"/>
      <c r="N1967" s="86"/>
      <c r="O1967" s="87"/>
    </row>
    <row r="1968" spans="2:15">
      <c r="B1968" s="83"/>
      <c r="C1968" s="84"/>
      <c r="D1968" s="85"/>
      <c r="E1968" s="85"/>
      <c r="F1968" s="86"/>
      <c r="G1968" s="86"/>
      <c r="H1968" s="87"/>
      <c r="I1968" s="86"/>
      <c r="J1968" s="87"/>
      <c r="K1968" s="86"/>
      <c r="L1968" s="86"/>
      <c r="M1968" s="87"/>
      <c r="N1968" s="86"/>
      <c r="O1968" s="87"/>
    </row>
    <row r="1969" spans="2:15">
      <c r="B1969" s="83"/>
      <c r="C1969" s="84"/>
      <c r="D1969" s="85"/>
      <c r="E1969" s="85"/>
      <c r="F1969" s="86"/>
      <c r="G1969" s="86"/>
      <c r="H1969" s="87"/>
      <c r="I1969" s="86"/>
      <c r="J1969" s="87"/>
      <c r="K1969" s="86"/>
      <c r="L1969" s="86"/>
      <c r="M1969" s="87"/>
      <c r="N1969" s="86"/>
      <c r="O1969" s="87"/>
    </row>
    <row r="1970" spans="2:15">
      <c r="B1970" s="83"/>
      <c r="C1970" s="84"/>
      <c r="D1970" s="85"/>
      <c r="E1970" s="85"/>
      <c r="F1970" s="86"/>
      <c r="G1970" s="86"/>
      <c r="H1970" s="87"/>
      <c r="I1970" s="86"/>
      <c r="J1970" s="87"/>
      <c r="K1970" s="86"/>
      <c r="L1970" s="86"/>
      <c r="M1970" s="87"/>
      <c r="N1970" s="86"/>
      <c r="O1970" s="87"/>
    </row>
    <row r="1971" spans="2:15">
      <c r="B1971" s="83"/>
      <c r="C1971" s="84"/>
      <c r="D1971" s="85"/>
      <c r="E1971" s="85"/>
      <c r="F1971" s="86"/>
      <c r="G1971" s="86"/>
      <c r="H1971" s="87"/>
      <c r="I1971" s="86"/>
      <c r="J1971" s="87"/>
      <c r="K1971" s="86"/>
      <c r="L1971" s="86"/>
      <c r="M1971" s="87"/>
      <c r="N1971" s="86"/>
      <c r="O1971" s="87"/>
    </row>
    <row r="1972" spans="2:15">
      <c r="B1972" s="83"/>
      <c r="C1972" s="84"/>
      <c r="D1972" s="85"/>
      <c r="E1972" s="85"/>
      <c r="F1972" s="86"/>
      <c r="G1972" s="86"/>
      <c r="H1972" s="87"/>
      <c r="I1972" s="86"/>
      <c r="J1972" s="87"/>
      <c r="K1972" s="86"/>
      <c r="L1972" s="86"/>
      <c r="M1972" s="87"/>
      <c r="N1972" s="86"/>
      <c r="O1972" s="87"/>
    </row>
    <row r="1973" spans="2:15">
      <c r="B1973" s="83"/>
      <c r="C1973" s="84"/>
      <c r="D1973" s="85"/>
      <c r="E1973" s="85"/>
      <c r="F1973" s="86"/>
      <c r="G1973" s="86"/>
      <c r="H1973" s="87"/>
      <c r="I1973" s="86"/>
      <c r="J1973" s="87"/>
      <c r="K1973" s="86"/>
      <c r="L1973" s="86"/>
      <c r="M1973" s="87"/>
      <c r="N1973" s="86"/>
      <c r="O1973" s="87"/>
    </row>
    <row r="1974" spans="2:15">
      <c r="B1974" s="83"/>
      <c r="C1974" s="84"/>
      <c r="D1974" s="85"/>
      <c r="E1974" s="85"/>
      <c r="F1974" s="86"/>
      <c r="G1974" s="86"/>
      <c r="H1974" s="87"/>
      <c r="I1974" s="86"/>
      <c r="J1974" s="87"/>
      <c r="K1974" s="86"/>
      <c r="L1974" s="86"/>
      <c r="M1974" s="87"/>
      <c r="N1974" s="86"/>
      <c r="O1974" s="87"/>
    </row>
    <row r="1975" spans="2:15">
      <c r="B1975" s="83"/>
      <c r="C1975" s="84"/>
      <c r="D1975" s="85"/>
      <c r="E1975" s="85"/>
      <c r="F1975" s="86"/>
      <c r="G1975" s="86"/>
      <c r="H1975" s="87"/>
      <c r="I1975" s="86"/>
      <c r="J1975" s="87"/>
      <c r="K1975" s="86"/>
      <c r="L1975" s="86"/>
      <c r="M1975" s="87"/>
      <c r="N1975" s="86"/>
      <c r="O1975" s="87"/>
    </row>
    <row r="1976" spans="2:15">
      <c r="B1976" s="83"/>
      <c r="C1976" s="84"/>
      <c r="D1976" s="85"/>
      <c r="E1976" s="85"/>
      <c r="F1976" s="86"/>
      <c r="G1976" s="86"/>
      <c r="H1976" s="87"/>
      <c r="I1976" s="86"/>
      <c r="J1976" s="87"/>
      <c r="K1976" s="86"/>
      <c r="L1976" s="86"/>
      <c r="M1976" s="87"/>
      <c r="N1976" s="86"/>
      <c r="O1976" s="87"/>
    </row>
    <row r="1977" spans="2:15">
      <c r="B1977" s="83"/>
      <c r="C1977" s="84"/>
      <c r="D1977" s="85"/>
      <c r="E1977" s="85"/>
      <c r="F1977" s="86"/>
      <c r="G1977" s="86"/>
      <c r="H1977" s="87"/>
      <c r="I1977" s="86"/>
      <c r="J1977" s="87"/>
      <c r="K1977" s="86"/>
      <c r="L1977" s="86"/>
      <c r="M1977" s="87"/>
      <c r="N1977" s="86"/>
      <c r="O1977" s="87"/>
    </row>
    <row r="1978" spans="2:15">
      <c r="B1978" s="83"/>
      <c r="C1978" s="84"/>
      <c r="D1978" s="85"/>
      <c r="E1978" s="85"/>
      <c r="F1978" s="86"/>
      <c r="G1978" s="86"/>
      <c r="H1978" s="87"/>
      <c r="I1978" s="86"/>
      <c r="J1978" s="87"/>
      <c r="K1978" s="86"/>
      <c r="L1978" s="86"/>
      <c r="M1978" s="87"/>
      <c r="N1978" s="86"/>
      <c r="O1978" s="87"/>
    </row>
    <row r="1979" spans="2:15">
      <c r="B1979" s="83"/>
      <c r="C1979" s="84"/>
      <c r="D1979" s="85"/>
      <c r="E1979" s="85"/>
      <c r="F1979" s="86"/>
      <c r="G1979" s="86"/>
      <c r="H1979" s="87"/>
      <c r="I1979" s="86"/>
      <c r="J1979" s="87"/>
      <c r="K1979" s="86"/>
      <c r="L1979" s="86"/>
      <c r="M1979" s="87"/>
      <c r="N1979" s="86"/>
      <c r="O1979" s="87"/>
    </row>
    <row r="1980" spans="2:15">
      <c r="B1980" s="83"/>
      <c r="C1980" s="84"/>
      <c r="D1980" s="85"/>
      <c r="E1980" s="85"/>
      <c r="F1980" s="86"/>
      <c r="G1980" s="86"/>
      <c r="H1980" s="87"/>
      <c r="I1980" s="86"/>
      <c r="J1980" s="87"/>
      <c r="K1980" s="86"/>
      <c r="L1980" s="86"/>
      <c r="M1980" s="87"/>
      <c r="N1980" s="86"/>
      <c r="O1980" s="87"/>
    </row>
    <row r="1981" spans="2:15">
      <c r="B1981" s="83"/>
      <c r="C1981" s="84"/>
      <c r="D1981" s="85"/>
      <c r="E1981" s="85"/>
      <c r="F1981" s="86"/>
      <c r="G1981" s="86"/>
      <c r="H1981" s="87"/>
      <c r="I1981" s="86"/>
      <c r="J1981" s="87"/>
      <c r="K1981" s="86"/>
      <c r="L1981" s="86"/>
      <c r="M1981" s="87"/>
      <c r="N1981" s="86"/>
      <c r="O1981" s="87"/>
    </row>
    <row r="1982" spans="2:15">
      <c r="B1982" s="83"/>
      <c r="C1982" s="84"/>
      <c r="D1982" s="85"/>
      <c r="E1982" s="85"/>
      <c r="F1982" s="86"/>
      <c r="G1982" s="86"/>
      <c r="H1982" s="87"/>
      <c r="I1982" s="86"/>
      <c r="J1982" s="87"/>
      <c r="K1982" s="86"/>
      <c r="L1982" s="86"/>
      <c r="M1982" s="87"/>
      <c r="N1982" s="86"/>
      <c r="O1982" s="87"/>
    </row>
    <row r="1983" spans="2:15">
      <c r="B1983" s="83"/>
      <c r="C1983" s="84"/>
      <c r="D1983" s="85"/>
      <c r="E1983" s="85"/>
      <c r="F1983" s="86"/>
      <c r="G1983" s="86"/>
      <c r="H1983" s="87"/>
      <c r="I1983" s="86"/>
      <c r="J1983" s="87"/>
      <c r="K1983" s="86"/>
      <c r="L1983" s="86"/>
      <c r="M1983" s="87"/>
      <c r="N1983" s="86"/>
      <c r="O1983" s="87"/>
    </row>
    <row r="1984" spans="2:15">
      <c r="B1984" s="83"/>
      <c r="C1984" s="84"/>
      <c r="D1984" s="85"/>
      <c r="E1984" s="85"/>
      <c r="F1984" s="86"/>
      <c r="G1984" s="86"/>
      <c r="H1984" s="87"/>
      <c r="I1984" s="86"/>
      <c r="J1984" s="87"/>
      <c r="K1984" s="86"/>
      <c r="L1984" s="86"/>
      <c r="M1984" s="87"/>
      <c r="N1984" s="86"/>
      <c r="O1984" s="87"/>
    </row>
    <row r="1985" spans="2:15">
      <c r="B1985" s="83"/>
      <c r="C1985" s="84"/>
      <c r="D1985" s="85"/>
      <c r="E1985" s="85"/>
      <c r="F1985" s="86"/>
      <c r="G1985" s="86"/>
      <c r="H1985" s="87"/>
      <c r="I1985" s="86"/>
      <c r="J1985" s="87"/>
      <c r="K1985" s="86"/>
      <c r="L1985" s="86"/>
      <c r="M1985" s="87"/>
      <c r="N1985" s="86"/>
      <c r="O1985" s="87"/>
    </row>
    <row r="1986" spans="2:15">
      <c r="B1986" s="83"/>
      <c r="C1986" s="84"/>
      <c r="D1986" s="85"/>
      <c r="E1986" s="85"/>
      <c r="F1986" s="86"/>
      <c r="G1986" s="86"/>
      <c r="H1986" s="87"/>
      <c r="I1986" s="86"/>
      <c r="J1986" s="87"/>
      <c r="K1986" s="86"/>
      <c r="L1986" s="86"/>
      <c r="M1986" s="87"/>
      <c r="N1986" s="86"/>
      <c r="O1986" s="87"/>
    </row>
    <row r="1987" spans="2:15">
      <c r="B1987" s="83"/>
      <c r="C1987" s="84"/>
      <c r="D1987" s="85"/>
      <c r="E1987" s="85"/>
      <c r="F1987" s="86"/>
      <c r="G1987" s="86"/>
      <c r="H1987" s="87"/>
      <c r="I1987" s="86"/>
      <c r="J1987" s="87"/>
      <c r="K1987" s="86"/>
      <c r="L1987" s="86"/>
      <c r="M1987" s="87"/>
      <c r="N1987" s="86"/>
      <c r="O1987" s="87"/>
    </row>
    <row r="1988" spans="2:15">
      <c r="B1988" s="83"/>
      <c r="C1988" s="84"/>
      <c r="D1988" s="85"/>
      <c r="E1988" s="85"/>
      <c r="F1988" s="86"/>
      <c r="G1988" s="86"/>
      <c r="H1988" s="87"/>
      <c r="I1988" s="86"/>
      <c r="J1988" s="87"/>
      <c r="K1988" s="86"/>
      <c r="L1988" s="86"/>
      <c r="M1988" s="87"/>
      <c r="N1988" s="86"/>
      <c r="O1988" s="87"/>
    </row>
    <row r="1989" spans="2:15">
      <c r="B1989" s="83"/>
      <c r="C1989" s="84"/>
      <c r="D1989" s="85"/>
      <c r="E1989" s="85"/>
      <c r="F1989" s="86"/>
      <c r="G1989" s="86"/>
      <c r="H1989" s="87"/>
      <c r="I1989" s="86"/>
      <c r="J1989" s="87"/>
      <c r="K1989" s="86"/>
      <c r="L1989" s="86"/>
      <c r="M1989" s="87"/>
      <c r="N1989" s="86"/>
      <c r="O1989" s="87"/>
    </row>
    <row r="1990" spans="2:15">
      <c r="B1990" s="83"/>
      <c r="C1990" s="84"/>
      <c r="D1990" s="85"/>
      <c r="E1990" s="85"/>
      <c r="F1990" s="86"/>
      <c r="G1990" s="86"/>
      <c r="H1990" s="87"/>
      <c r="I1990" s="86"/>
      <c r="J1990" s="87"/>
      <c r="K1990" s="86"/>
      <c r="L1990" s="86"/>
      <c r="M1990" s="87"/>
      <c r="N1990" s="86"/>
      <c r="O1990" s="87"/>
    </row>
    <row r="1991" spans="2:15">
      <c r="B1991" s="83"/>
      <c r="C1991" s="84"/>
      <c r="D1991" s="85"/>
      <c r="E1991" s="85"/>
      <c r="F1991" s="86"/>
      <c r="G1991" s="86"/>
      <c r="H1991" s="87"/>
      <c r="I1991" s="86"/>
      <c r="J1991" s="87"/>
      <c r="K1991" s="86"/>
      <c r="L1991" s="86"/>
      <c r="M1991" s="87"/>
      <c r="N1991" s="86"/>
      <c r="O1991" s="87"/>
    </row>
    <row r="1992" spans="2:15">
      <c r="B1992" s="83"/>
      <c r="C1992" s="84"/>
      <c r="D1992" s="85"/>
      <c r="E1992" s="85"/>
      <c r="F1992" s="86"/>
      <c r="G1992" s="86"/>
      <c r="H1992" s="87"/>
      <c r="I1992" s="86"/>
      <c r="J1992" s="87"/>
      <c r="K1992" s="86"/>
      <c r="L1992" s="86"/>
      <c r="M1992" s="87"/>
      <c r="N1992" s="86"/>
      <c r="O1992" s="87"/>
    </row>
    <row r="1993" spans="2:15">
      <c r="B1993" s="83"/>
      <c r="C1993" s="84"/>
      <c r="D1993" s="85"/>
      <c r="E1993" s="85"/>
      <c r="F1993" s="86"/>
      <c r="G1993" s="86"/>
      <c r="H1993" s="87"/>
      <c r="I1993" s="86"/>
      <c r="J1993" s="87"/>
      <c r="K1993" s="86"/>
      <c r="L1993" s="86"/>
      <c r="M1993" s="87"/>
      <c r="N1993" s="86"/>
      <c r="O1993" s="87"/>
    </row>
    <row r="1994" spans="2:15">
      <c r="B1994" s="83"/>
      <c r="C1994" s="84"/>
      <c r="D1994" s="85"/>
      <c r="E1994" s="85"/>
      <c r="F1994" s="86"/>
      <c r="G1994" s="86"/>
      <c r="H1994" s="87"/>
      <c r="I1994" s="86"/>
      <c r="J1994" s="87"/>
      <c r="K1994" s="86"/>
      <c r="L1994" s="86"/>
      <c r="M1994" s="87"/>
      <c r="N1994" s="86"/>
      <c r="O1994" s="87"/>
    </row>
    <row r="1995" spans="2:15">
      <c r="B1995" s="83"/>
      <c r="C1995" s="84"/>
      <c r="D1995" s="85"/>
      <c r="E1995" s="85"/>
      <c r="F1995" s="86"/>
      <c r="G1995" s="86"/>
      <c r="H1995" s="87"/>
      <c r="I1995" s="86"/>
      <c r="J1995" s="87"/>
      <c r="K1995" s="86"/>
      <c r="L1995" s="86"/>
      <c r="M1995" s="87"/>
      <c r="N1995" s="86"/>
      <c r="O1995" s="87"/>
    </row>
    <row r="1996" spans="2:15">
      <c r="B1996" s="83"/>
      <c r="C1996" s="84"/>
      <c r="D1996" s="85"/>
      <c r="E1996" s="85"/>
      <c r="F1996" s="86"/>
      <c r="G1996" s="86"/>
      <c r="H1996" s="87"/>
      <c r="I1996" s="86"/>
      <c r="J1996" s="87"/>
      <c r="K1996" s="86"/>
      <c r="L1996" s="86"/>
      <c r="M1996" s="87"/>
      <c r="N1996" s="86"/>
      <c r="O1996" s="87"/>
    </row>
    <row r="1997" spans="2:15">
      <c r="B1997" s="83"/>
      <c r="C1997" s="84"/>
      <c r="D1997" s="85"/>
      <c r="E1997" s="85"/>
      <c r="F1997" s="86"/>
      <c r="G1997" s="86"/>
      <c r="H1997" s="87"/>
      <c r="I1997" s="86"/>
      <c r="J1997" s="87"/>
      <c r="K1997" s="86"/>
      <c r="L1997" s="86"/>
      <c r="M1997" s="87"/>
      <c r="N1997" s="86"/>
      <c r="O1997" s="87"/>
    </row>
    <row r="1998" spans="2:15">
      <c r="B1998" s="83"/>
      <c r="C1998" s="84"/>
      <c r="D1998" s="85"/>
      <c r="E1998" s="85"/>
      <c r="F1998" s="86"/>
      <c r="G1998" s="86"/>
      <c r="H1998" s="87"/>
      <c r="I1998" s="86"/>
      <c r="J1998" s="87"/>
      <c r="K1998" s="86"/>
      <c r="L1998" s="86"/>
      <c r="M1998" s="87"/>
      <c r="N1998" s="86"/>
      <c r="O1998" s="87"/>
    </row>
    <row r="1999" spans="2:15">
      <c r="B1999" s="83"/>
      <c r="C1999" s="84"/>
      <c r="D1999" s="85"/>
      <c r="E1999" s="85"/>
      <c r="F1999" s="86"/>
      <c r="G1999" s="86"/>
      <c r="H1999" s="87"/>
      <c r="I1999" s="86"/>
      <c r="J1999" s="87"/>
      <c r="K1999" s="86"/>
      <c r="L1999" s="86"/>
      <c r="M1999" s="87"/>
      <c r="N1999" s="86"/>
      <c r="O1999" s="87"/>
    </row>
    <row r="2000" spans="2:15">
      <c r="B2000" s="83"/>
      <c r="C2000" s="84"/>
      <c r="D2000" s="85"/>
      <c r="E2000" s="85"/>
      <c r="F2000" s="86"/>
      <c r="G2000" s="86"/>
      <c r="H2000" s="87"/>
      <c r="I2000" s="86"/>
      <c r="J2000" s="87"/>
      <c r="K2000" s="86"/>
      <c r="L2000" s="86"/>
      <c r="M2000" s="87"/>
      <c r="N2000" s="86"/>
      <c r="O2000" s="87"/>
    </row>
    <row r="2001" spans="2:15">
      <c r="B2001" s="83"/>
      <c r="C2001" s="84"/>
      <c r="D2001" s="85"/>
      <c r="E2001" s="85"/>
      <c r="F2001" s="86"/>
      <c r="G2001" s="86"/>
      <c r="H2001" s="87"/>
      <c r="I2001" s="86"/>
      <c r="J2001" s="87"/>
      <c r="K2001" s="86"/>
      <c r="L2001" s="86"/>
      <c r="M2001" s="87"/>
      <c r="N2001" s="86"/>
      <c r="O2001" s="87"/>
    </row>
    <row r="2002" spans="2:15">
      <c r="B2002" s="83"/>
      <c r="C2002" s="84"/>
      <c r="D2002" s="85"/>
      <c r="E2002" s="85"/>
      <c r="F2002" s="86"/>
      <c r="G2002" s="86"/>
      <c r="H2002" s="87"/>
      <c r="I2002" s="86"/>
      <c r="J2002" s="87"/>
      <c r="K2002" s="86"/>
      <c r="L2002" s="86"/>
      <c r="M2002" s="87"/>
      <c r="N2002" s="86"/>
      <c r="O2002" s="87"/>
    </row>
    <row r="2003" spans="2:15">
      <c r="B2003" s="83"/>
      <c r="C2003" s="84"/>
      <c r="D2003" s="85"/>
      <c r="E2003" s="85"/>
      <c r="F2003" s="86"/>
      <c r="G2003" s="86"/>
      <c r="H2003" s="87"/>
      <c r="I2003" s="86"/>
      <c r="J2003" s="87"/>
      <c r="K2003" s="86"/>
      <c r="L2003" s="86"/>
      <c r="M2003" s="87"/>
      <c r="N2003" s="86"/>
      <c r="O2003" s="87"/>
    </row>
    <row r="2004" spans="2:15">
      <c r="B2004" s="83"/>
      <c r="C2004" s="84"/>
      <c r="D2004" s="85"/>
      <c r="E2004" s="85"/>
      <c r="F2004" s="86"/>
      <c r="G2004" s="86"/>
      <c r="H2004" s="87"/>
      <c r="I2004" s="86"/>
      <c r="J2004" s="87"/>
      <c r="K2004" s="86"/>
      <c r="L2004" s="86"/>
      <c r="M2004" s="87"/>
      <c r="N2004" s="86"/>
      <c r="O2004" s="87"/>
    </row>
    <row r="2005" spans="2:15">
      <c r="B2005" s="83"/>
      <c r="C2005" s="84"/>
      <c r="D2005" s="85"/>
      <c r="E2005" s="85"/>
      <c r="F2005" s="86"/>
      <c r="G2005" s="86"/>
      <c r="H2005" s="87"/>
      <c r="I2005" s="86"/>
      <c r="J2005" s="87"/>
      <c r="K2005" s="86"/>
      <c r="L2005" s="86"/>
      <c r="M2005" s="87"/>
      <c r="N2005" s="86"/>
      <c r="O2005" s="87"/>
    </row>
    <row r="2006" spans="2:15">
      <c r="B2006" s="83"/>
      <c r="C2006" s="84"/>
      <c r="D2006" s="85"/>
      <c r="E2006" s="85"/>
      <c r="F2006" s="86"/>
      <c r="G2006" s="86"/>
      <c r="H2006" s="87"/>
      <c r="I2006" s="86"/>
      <c r="J2006" s="87"/>
      <c r="K2006" s="86"/>
      <c r="L2006" s="86"/>
      <c r="M2006" s="87"/>
      <c r="N2006" s="86"/>
      <c r="O2006" s="87"/>
    </row>
    <row r="2007" spans="2:15">
      <c r="B2007" s="83"/>
      <c r="C2007" s="84"/>
      <c r="D2007" s="85"/>
      <c r="E2007" s="85"/>
      <c r="F2007" s="86"/>
      <c r="G2007" s="86"/>
      <c r="H2007" s="87"/>
      <c r="I2007" s="86"/>
      <c r="J2007" s="87"/>
      <c r="K2007" s="86"/>
      <c r="L2007" s="86"/>
      <c r="M2007" s="87"/>
      <c r="N2007" s="86"/>
      <c r="O2007" s="87"/>
    </row>
    <row r="2008" spans="2:15">
      <c r="B2008" s="83"/>
      <c r="C2008" s="84"/>
      <c r="D2008" s="85"/>
      <c r="E2008" s="85"/>
      <c r="F2008" s="86"/>
      <c r="G2008" s="86"/>
      <c r="H2008" s="87"/>
      <c r="I2008" s="86"/>
      <c r="J2008" s="87"/>
      <c r="K2008" s="86"/>
      <c r="L2008" s="86"/>
      <c r="M2008" s="87"/>
      <c r="N2008" s="86"/>
      <c r="O2008" s="87"/>
    </row>
    <row r="2009" spans="2:15">
      <c r="B2009" s="83"/>
      <c r="C2009" s="84"/>
      <c r="D2009" s="85"/>
      <c r="E2009" s="85"/>
      <c r="F2009" s="86"/>
      <c r="G2009" s="86"/>
      <c r="H2009" s="87"/>
      <c r="I2009" s="86"/>
      <c r="J2009" s="87"/>
      <c r="K2009" s="86"/>
      <c r="L2009" s="86"/>
      <c r="M2009" s="87"/>
      <c r="N2009" s="86"/>
      <c r="O2009" s="87"/>
    </row>
    <row r="2010" spans="2:15">
      <c r="B2010" s="83"/>
      <c r="C2010" s="84"/>
      <c r="D2010" s="85"/>
      <c r="E2010" s="85"/>
      <c r="F2010" s="86"/>
      <c r="G2010" s="86"/>
      <c r="H2010" s="87"/>
      <c r="I2010" s="86"/>
      <c r="J2010" s="87"/>
      <c r="K2010" s="86"/>
      <c r="L2010" s="86"/>
      <c r="M2010" s="87"/>
      <c r="N2010" s="86"/>
      <c r="O2010" s="87"/>
    </row>
    <row r="2011" spans="2:15">
      <c r="B2011" s="83"/>
      <c r="C2011" s="84"/>
      <c r="D2011" s="85"/>
      <c r="E2011" s="85"/>
      <c r="F2011" s="86"/>
      <c r="G2011" s="86"/>
      <c r="H2011" s="87"/>
      <c r="I2011" s="86"/>
      <c r="J2011" s="87"/>
      <c r="K2011" s="86"/>
      <c r="L2011" s="86"/>
      <c r="M2011" s="87"/>
      <c r="N2011" s="86"/>
      <c r="O2011" s="87"/>
    </row>
    <row r="2012" spans="2:15">
      <c r="B2012" s="83"/>
      <c r="C2012" s="84"/>
      <c r="D2012" s="85"/>
      <c r="E2012" s="85"/>
      <c r="F2012" s="86"/>
      <c r="G2012" s="86"/>
      <c r="H2012" s="87"/>
      <c r="I2012" s="86"/>
      <c r="J2012" s="87"/>
      <c r="K2012" s="86"/>
      <c r="L2012" s="86"/>
      <c r="M2012" s="87"/>
      <c r="N2012" s="86"/>
      <c r="O2012" s="87"/>
    </row>
    <row r="2013" spans="2:15">
      <c r="B2013" s="83"/>
      <c r="C2013" s="84"/>
      <c r="D2013" s="85"/>
      <c r="E2013" s="85"/>
      <c r="F2013" s="86"/>
      <c r="G2013" s="86"/>
      <c r="H2013" s="87"/>
      <c r="I2013" s="86"/>
      <c r="J2013" s="87"/>
      <c r="K2013" s="86"/>
      <c r="L2013" s="86"/>
      <c r="M2013" s="87"/>
      <c r="N2013" s="86"/>
      <c r="O2013" s="87"/>
    </row>
    <row r="2014" spans="2:15">
      <c r="B2014" s="83"/>
      <c r="C2014" s="84"/>
      <c r="D2014" s="85"/>
      <c r="E2014" s="85"/>
      <c r="F2014" s="86"/>
      <c r="G2014" s="86"/>
      <c r="H2014" s="87"/>
      <c r="I2014" s="86"/>
      <c r="J2014" s="87"/>
      <c r="K2014" s="86"/>
      <c r="L2014" s="86"/>
      <c r="M2014" s="87"/>
      <c r="N2014" s="86"/>
      <c r="O2014" s="87"/>
    </row>
    <row r="2015" spans="2:15">
      <c r="B2015" s="83"/>
      <c r="C2015" s="84"/>
      <c r="D2015" s="85"/>
      <c r="E2015" s="85"/>
      <c r="F2015" s="86"/>
      <c r="G2015" s="86"/>
      <c r="H2015" s="87"/>
      <c r="I2015" s="86"/>
      <c r="J2015" s="87"/>
      <c r="K2015" s="86"/>
      <c r="L2015" s="86"/>
      <c r="M2015" s="87"/>
      <c r="N2015" s="86"/>
      <c r="O2015" s="87"/>
    </row>
    <row r="2016" spans="2:15">
      <c r="B2016" s="83"/>
      <c r="C2016" s="84"/>
      <c r="D2016" s="85"/>
      <c r="E2016" s="85"/>
      <c r="F2016" s="86"/>
      <c r="G2016" s="86"/>
      <c r="H2016" s="87"/>
      <c r="I2016" s="86"/>
      <c r="J2016" s="87"/>
      <c r="K2016" s="86"/>
      <c r="L2016" s="86"/>
      <c r="M2016" s="87"/>
      <c r="N2016" s="86"/>
      <c r="O2016" s="87"/>
    </row>
    <row r="2017" spans="2:15">
      <c r="B2017" s="83"/>
      <c r="C2017" s="84"/>
      <c r="D2017" s="85"/>
      <c r="E2017" s="85"/>
      <c r="F2017" s="86"/>
      <c r="G2017" s="86"/>
      <c r="H2017" s="87"/>
      <c r="I2017" s="86"/>
      <c r="J2017" s="87"/>
      <c r="K2017" s="86"/>
      <c r="L2017" s="86"/>
      <c r="M2017" s="87"/>
      <c r="N2017" s="86"/>
      <c r="O2017" s="87"/>
    </row>
    <row r="2018" spans="2:15">
      <c r="B2018" s="83"/>
      <c r="C2018" s="84"/>
      <c r="D2018" s="85"/>
      <c r="E2018" s="85"/>
      <c r="F2018" s="86"/>
      <c r="G2018" s="86"/>
      <c r="H2018" s="87"/>
      <c r="I2018" s="86"/>
      <c r="J2018" s="87"/>
      <c r="K2018" s="86"/>
      <c r="L2018" s="86"/>
      <c r="M2018" s="87"/>
      <c r="N2018" s="86"/>
      <c r="O2018" s="87"/>
    </row>
    <row r="2019" spans="2:15">
      <c r="B2019" s="83"/>
      <c r="C2019" s="84"/>
      <c r="D2019" s="85"/>
      <c r="E2019" s="85"/>
      <c r="F2019" s="86"/>
      <c r="G2019" s="86"/>
      <c r="H2019" s="87"/>
      <c r="I2019" s="86"/>
      <c r="J2019" s="87"/>
      <c r="K2019" s="86"/>
      <c r="L2019" s="86"/>
      <c r="M2019" s="87"/>
      <c r="N2019" s="86"/>
      <c r="O2019" s="87"/>
    </row>
    <row r="2020" spans="2:15">
      <c r="B2020" s="83"/>
      <c r="C2020" s="84"/>
      <c r="D2020" s="85"/>
      <c r="E2020" s="85"/>
      <c r="F2020" s="86"/>
      <c r="G2020" s="86"/>
      <c r="H2020" s="87"/>
      <c r="I2020" s="86"/>
      <c r="J2020" s="87"/>
      <c r="K2020" s="86"/>
      <c r="L2020" s="86"/>
      <c r="M2020" s="87"/>
      <c r="N2020" s="86"/>
      <c r="O2020" s="87"/>
    </row>
    <row r="2021" spans="2:15">
      <c r="B2021" s="83"/>
      <c r="C2021" s="84"/>
      <c r="D2021" s="85"/>
      <c r="E2021" s="85"/>
      <c r="F2021" s="86"/>
      <c r="G2021" s="86"/>
      <c r="H2021" s="87"/>
      <c r="I2021" s="86"/>
      <c r="J2021" s="87"/>
      <c r="K2021" s="86"/>
      <c r="L2021" s="86"/>
      <c r="M2021" s="87"/>
      <c r="N2021" s="86"/>
      <c r="O2021" s="87"/>
    </row>
    <row r="2022" spans="2:15">
      <c r="B2022" s="83"/>
      <c r="C2022" s="84"/>
      <c r="D2022" s="85"/>
      <c r="E2022" s="85"/>
      <c r="F2022" s="86"/>
      <c r="G2022" s="86"/>
      <c r="H2022" s="87"/>
      <c r="I2022" s="86"/>
      <c r="J2022" s="87"/>
      <c r="K2022" s="86"/>
      <c r="L2022" s="86"/>
      <c r="M2022" s="87"/>
      <c r="N2022" s="86"/>
      <c r="O2022" s="87"/>
    </row>
    <row r="2023" spans="2:15">
      <c r="B2023" s="83"/>
      <c r="C2023" s="84"/>
      <c r="D2023" s="85"/>
      <c r="E2023" s="85"/>
      <c r="F2023" s="86"/>
      <c r="G2023" s="86"/>
      <c r="H2023" s="87"/>
      <c r="I2023" s="86"/>
      <c r="J2023" s="87"/>
      <c r="K2023" s="86"/>
      <c r="L2023" s="86"/>
      <c r="M2023" s="87"/>
      <c r="N2023" s="86"/>
      <c r="O2023" s="87"/>
    </row>
    <row r="2024" spans="2:15">
      <c r="B2024" s="83"/>
      <c r="C2024" s="84"/>
      <c r="D2024" s="85"/>
      <c r="E2024" s="85"/>
      <c r="F2024" s="86"/>
      <c r="G2024" s="86"/>
      <c r="H2024" s="87"/>
      <c r="I2024" s="86"/>
      <c r="J2024" s="87"/>
      <c r="K2024" s="86"/>
      <c r="L2024" s="86"/>
      <c r="M2024" s="87"/>
      <c r="N2024" s="86"/>
      <c r="O2024" s="87"/>
    </row>
    <row r="2025" spans="2:15">
      <c r="B2025" s="83"/>
      <c r="C2025" s="84"/>
      <c r="D2025" s="85"/>
      <c r="E2025" s="85"/>
      <c r="F2025" s="86"/>
      <c r="G2025" s="86"/>
      <c r="H2025" s="87"/>
      <c r="I2025" s="86"/>
      <c r="J2025" s="87"/>
      <c r="K2025" s="86"/>
      <c r="L2025" s="86"/>
      <c r="M2025" s="87"/>
      <c r="N2025" s="86"/>
      <c r="O2025" s="87"/>
    </row>
    <row r="2026" spans="2:15">
      <c r="B2026" s="83"/>
      <c r="C2026" s="84"/>
      <c r="D2026" s="85"/>
      <c r="E2026" s="85"/>
      <c r="F2026" s="86"/>
      <c r="G2026" s="86"/>
      <c r="H2026" s="87"/>
      <c r="I2026" s="86"/>
      <c r="J2026" s="87"/>
      <c r="K2026" s="86"/>
      <c r="L2026" s="86"/>
      <c r="M2026" s="87"/>
      <c r="N2026" s="86"/>
      <c r="O2026" s="87"/>
    </row>
    <row r="2027" spans="2:15">
      <c r="B2027" s="83"/>
      <c r="C2027" s="84"/>
      <c r="D2027" s="85"/>
      <c r="E2027" s="85"/>
      <c r="F2027" s="86"/>
      <c r="G2027" s="86"/>
      <c r="H2027" s="87"/>
      <c r="I2027" s="86"/>
      <c r="J2027" s="87"/>
      <c r="K2027" s="86"/>
      <c r="L2027" s="86"/>
      <c r="M2027" s="87"/>
      <c r="N2027" s="86"/>
      <c r="O2027" s="87"/>
    </row>
    <row r="2028" spans="2:15">
      <c r="B2028" s="83"/>
      <c r="C2028" s="84"/>
      <c r="D2028" s="85"/>
      <c r="E2028" s="85"/>
      <c r="F2028" s="86"/>
      <c r="G2028" s="86"/>
      <c r="H2028" s="87"/>
      <c r="I2028" s="86"/>
      <c r="J2028" s="87"/>
      <c r="K2028" s="86"/>
      <c r="L2028" s="86"/>
      <c r="M2028" s="87"/>
      <c r="N2028" s="86"/>
      <c r="O2028" s="87"/>
    </row>
    <row r="2029" spans="2:15">
      <c r="B2029" s="83"/>
      <c r="C2029" s="84"/>
      <c r="D2029" s="85"/>
      <c r="E2029" s="85"/>
      <c r="F2029" s="86"/>
      <c r="G2029" s="86"/>
      <c r="H2029" s="87"/>
      <c r="I2029" s="86"/>
      <c r="J2029" s="87"/>
      <c r="K2029" s="86"/>
      <c r="L2029" s="86"/>
      <c r="M2029" s="87"/>
      <c r="N2029" s="86"/>
      <c r="O2029" s="87"/>
    </row>
    <row r="2030" spans="2:15">
      <c r="B2030" s="83"/>
      <c r="C2030" s="84"/>
      <c r="D2030" s="85"/>
      <c r="E2030" s="85"/>
      <c r="F2030" s="86"/>
      <c r="G2030" s="86"/>
      <c r="H2030" s="87"/>
      <c r="I2030" s="86"/>
      <c r="J2030" s="87"/>
      <c r="K2030" s="86"/>
      <c r="L2030" s="86"/>
      <c r="M2030" s="87"/>
      <c r="N2030" s="86"/>
      <c r="O2030" s="87"/>
    </row>
    <row r="2031" spans="2:15">
      <c r="B2031" s="83"/>
      <c r="C2031" s="84"/>
      <c r="D2031" s="85"/>
      <c r="E2031" s="85"/>
      <c r="F2031" s="86"/>
      <c r="G2031" s="86"/>
      <c r="H2031" s="87"/>
      <c r="I2031" s="86"/>
      <c r="J2031" s="87"/>
      <c r="K2031" s="86"/>
      <c r="L2031" s="86"/>
      <c r="M2031" s="87"/>
      <c r="N2031" s="86"/>
      <c r="O2031" s="87"/>
    </row>
    <row r="2032" spans="2:15">
      <c r="B2032" s="83"/>
      <c r="C2032" s="84"/>
      <c r="D2032" s="85"/>
      <c r="E2032" s="85"/>
      <c r="F2032" s="86"/>
      <c r="G2032" s="86"/>
      <c r="H2032" s="87"/>
      <c r="I2032" s="86"/>
      <c r="J2032" s="87"/>
      <c r="K2032" s="86"/>
      <c r="L2032" s="86"/>
      <c r="M2032" s="87"/>
      <c r="N2032" s="86"/>
      <c r="O2032" s="87"/>
    </row>
    <row r="2033" spans="2:15">
      <c r="B2033" s="83"/>
      <c r="C2033" s="84"/>
      <c r="D2033" s="85"/>
      <c r="E2033" s="85"/>
      <c r="F2033" s="86"/>
      <c r="G2033" s="86"/>
      <c r="H2033" s="87"/>
      <c r="I2033" s="86"/>
      <c r="J2033" s="87"/>
      <c r="K2033" s="86"/>
      <c r="L2033" s="86"/>
      <c r="M2033" s="87"/>
      <c r="N2033" s="86"/>
      <c r="O2033" s="87"/>
    </row>
    <row r="2034" spans="2:15">
      <c r="B2034" s="83"/>
      <c r="C2034" s="84"/>
      <c r="D2034" s="85"/>
      <c r="E2034" s="85"/>
      <c r="F2034" s="86"/>
      <c r="G2034" s="86"/>
      <c r="H2034" s="87"/>
      <c r="I2034" s="86"/>
      <c r="J2034" s="87"/>
      <c r="K2034" s="86"/>
      <c r="L2034" s="86"/>
      <c r="M2034" s="87"/>
      <c r="N2034" s="86"/>
      <c r="O2034" s="87"/>
    </row>
    <row r="2035" spans="2:15">
      <c r="B2035" s="83"/>
      <c r="C2035" s="84"/>
      <c r="D2035" s="85"/>
      <c r="E2035" s="85"/>
      <c r="F2035" s="86"/>
      <c r="G2035" s="86"/>
      <c r="H2035" s="87"/>
      <c r="I2035" s="86"/>
      <c r="J2035" s="87"/>
      <c r="K2035" s="86"/>
      <c r="L2035" s="86"/>
      <c r="M2035" s="87"/>
      <c r="N2035" s="86"/>
      <c r="O2035" s="87"/>
    </row>
    <row r="2036" spans="2:15">
      <c r="B2036" s="83"/>
      <c r="C2036" s="84"/>
      <c r="D2036" s="85"/>
      <c r="E2036" s="85"/>
      <c r="F2036" s="86"/>
      <c r="G2036" s="86"/>
      <c r="H2036" s="87"/>
      <c r="I2036" s="86"/>
      <c r="J2036" s="87"/>
      <c r="K2036" s="86"/>
      <c r="L2036" s="86"/>
      <c r="M2036" s="87"/>
      <c r="N2036" s="86"/>
      <c r="O2036" s="87"/>
    </row>
    <row r="2037" spans="2:15">
      <c r="B2037" s="83"/>
      <c r="C2037" s="84"/>
      <c r="D2037" s="85"/>
      <c r="E2037" s="85"/>
      <c r="F2037" s="86"/>
      <c r="G2037" s="86"/>
      <c r="H2037" s="87"/>
      <c r="I2037" s="86"/>
      <c r="J2037" s="87"/>
      <c r="K2037" s="86"/>
      <c r="L2037" s="86"/>
      <c r="M2037" s="87"/>
      <c r="N2037" s="86"/>
      <c r="O2037" s="87"/>
    </row>
    <row r="2038" spans="2:15">
      <c r="B2038" s="83"/>
      <c r="C2038" s="84"/>
      <c r="D2038" s="85"/>
      <c r="E2038" s="85"/>
      <c r="F2038" s="86"/>
      <c r="G2038" s="86"/>
      <c r="H2038" s="87"/>
      <c r="I2038" s="86"/>
      <c r="J2038" s="87"/>
      <c r="K2038" s="86"/>
      <c r="L2038" s="86"/>
      <c r="M2038" s="87"/>
      <c r="N2038" s="86"/>
      <c r="O2038" s="87"/>
    </row>
    <row r="2039" spans="2:15">
      <c r="B2039" s="83"/>
      <c r="C2039" s="84"/>
      <c r="D2039" s="85"/>
      <c r="E2039" s="85"/>
      <c r="F2039" s="86"/>
      <c r="G2039" s="86"/>
      <c r="H2039" s="87"/>
      <c r="I2039" s="86"/>
      <c r="J2039" s="87"/>
      <c r="K2039" s="86"/>
      <c r="L2039" s="86"/>
      <c r="M2039" s="87"/>
      <c r="N2039" s="86"/>
      <c r="O2039" s="87"/>
    </row>
    <row r="2040" spans="2:15">
      <c r="B2040" s="83"/>
      <c r="C2040" s="84"/>
      <c r="D2040" s="85"/>
      <c r="E2040" s="85"/>
      <c r="F2040" s="86"/>
      <c r="G2040" s="86"/>
      <c r="H2040" s="87"/>
      <c r="I2040" s="86"/>
      <c r="J2040" s="87"/>
      <c r="K2040" s="86"/>
      <c r="L2040" s="86"/>
      <c r="M2040" s="87"/>
      <c r="N2040" s="86"/>
      <c r="O2040" s="87"/>
    </row>
    <row r="2041" spans="2:15">
      <c r="B2041" s="83"/>
      <c r="C2041" s="84"/>
      <c r="D2041" s="85"/>
      <c r="E2041" s="85"/>
      <c r="F2041" s="86"/>
      <c r="G2041" s="86"/>
      <c r="H2041" s="87"/>
      <c r="I2041" s="86"/>
      <c r="J2041" s="87"/>
      <c r="K2041" s="86"/>
      <c r="L2041" s="86"/>
      <c r="M2041" s="87"/>
      <c r="N2041" s="86"/>
      <c r="O2041" s="87"/>
    </row>
    <row r="2042" spans="2:15">
      <c r="B2042" s="83"/>
      <c r="C2042" s="84"/>
      <c r="D2042" s="85"/>
      <c r="E2042" s="85"/>
      <c r="F2042" s="86"/>
      <c r="G2042" s="86"/>
      <c r="H2042" s="87"/>
      <c r="I2042" s="86"/>
      <c r="J2042" s="87"/>
      <c r="K2042" s="86"/>
      <c r="L2042" s="86"/>
      <c r="M2042" s="87"/>
      <c r="N2042" s="86"/>
      <c r="O2042" s="87"/>
    </row>
    <row r="2043" spans="2:15">
      <c r="B2043" s="83"/>
      <c r="C2043" s="84"/>
      <c r="D2043" s="85"/>
      <c r="E2043" s="85"/>
      <c r="F2043" s="86"/>
      <c r="G2043" s="86"/>
      <c r="H2043" s="87"/>
      <c r="I2043" s="86"/>
      <c r="J2043" s="87"/>
      <c r="K2043" s="86"/>
      <c r="L2043" s="86"/>
      <c r="M2043" s="87"/>
      <c r="N2043" s="86"/>
      <c r="O2043" s="87"/>
    </row>
    <row r="2044" spans="2:15">
      <c r="B2044" s="83"/>
      <c r="C2044" s="84"/>
      <c r="D2044" s="85"/>
      <c r="E2044" s="85"/>
      <c r="F2044" s="86"/>
      <c r="G2044" s="86"/>
      <c r="H2044" s="87"/>
      <c r="I2044" s="86"/>
      <c r="J2044" s="87"/>
      <c r="K2044" s="86"/>
      <c r="L2044" s="86"/>
      <c r="M2044" s="87"/>
      <c r="N2044" s="86"/>
      <c r="O2044" s="87"/>
    </row>
    <row r="2045" spans="2:15">
      <c r="B2045" s="83"/>
      <c r="C2045" s="84"/>
      <c r="D2045" s="85"/>
      <c r="E2045" s="85"/>
      <c r="F2045" s="86"/>
      <c r="G2045" s="86"/>
      <c r="H2045" s="87"/>
      <c r="I2045" s="86"/>
      <c r="J2045" s="87"/>
      <c r="K2045" s="86"/>
      <c r="L2045" s="86"/>
      <c r="M2045" s="87"/>
      <c r="N2045" s="86"/>
      <c r="O2045" s="87"/>
    </row>
    <row r="2046" spans="2:15">
      <c r="B2046" s="83"/>
      <c r="C2046" s="84"/>
      <c r="D2046" s="85"/>
      <c r="E2046" s="85"/>
      <c r="F2046" s="86"/>
      <c r="G2046" s="86"/>
      <c r="H2046" s="87"/>
      <c r="I2046" s="86"/>
      <c r="J2046" s="87"/>
      <c r="K2046" s="86"/>
      <c r="L2046" s="86"/>
      <c r="M2046" s="87"/>
      <c r="N2046" s="86"/>
      <c r="O2046" s="87"/>
    </row>
    <row r="2047" spans="2:15">
      <c r="B2047" s="83"/>
      <c r="C2047" s="84"/>
      <c r="D2047" s="85"/>
      <c r="E2047" s="85"/>
      <c r="F2047" s="86"/>
      <c r="G2047" s="86"/>
      <c r="H2047" s="87"/>
      <c r="I2047" s="86"/>
      <c r="J2047" s="87"/>
      <c r="K2047" s="86"/>
      <c r="L2047" s="86"/>
      <c r="M2047" s="87"/>
      <c r="N2047" s="86"/>
      <c r="O2047" s="87"/>
    </row>
    <row r="2048" spans="2:15">
      <c r="B2048" s="83"/>
      <c r="C2048" s="84"/>
      <c r="D2048" s="85"/>
      <c r="E2048" s="85"/>
      <c r="F2048" s="86"/>
      <c r="G2048" s="86"/>
      <c r="H2048" s="87"/>
      <c r="I2048" s="86"/>
      <c r="J2048" s="87"/>
      <c r="K2048" s="86"/>
      <c r="L2048" s="86"/>
      <c r="M2048" s="87"/>
      <c r="N2048" s="86"/>
      <c r="O2048" s="87"/>
    </row>
    <row r="2049" spans="2:15">
      <c r="B2049" s="83"/>
      <c r="C2049" s="84"/>
      <c r="D2049" s="85"/>
      <c r="E2049" s="85"/>
      <c r="F2049" s="86"/>
      <c r="G2049" s="86"/>
      <c r="H2049" s="87"/>
      <c r="I2049" s="86"/>
      <c r="J2049" s="87"/>
      <c r="K2049" s="86"/>
      <c r="L2049" s="86"/>
      <c r="M2049" s="87"/>
      <c r="N2049" s="86"/>
      <c r="O2049" s="87"/>
    </row>
    <row r="2050" spans="2:15">
      <c r="B2050" s="83"/>
      <c r="C2050" s="84"/>
      <c r="D2050" s="85"/>
      <c r="E2050" s="85"/>
      <c r="F2050" s="86"/>
      <c r="G2050" s="86"/>
      <c r="H2050" s="87"/>
      <c r="I2050" s="86"/>
      <c r="J2050" s="87"/>
      <c r="K2050" s="86"/>
      <c r="L2050" s="86"/>
      <c r="M2050" s="87"/>
      <c r="N2050" s="86"/>
      <c r="O2050" s="87"/>
    </row>
    <row r="2051" spans="2:15">
      <c r="B2051" s="83"/>
      <c r="C2051" s="84"/>
      <c r="D2051" s="85"/>
      <c r="E2051" s="85"/>
      <c r="F2051" s="86"/>
      <c r="G2051" s="86"/>
      <c r="H2051" s="87"/>
      <c r="I2051" s="86"/>
      <c r="J2051" s="87"/>
      <c r="K2051" s="86"/>
      <c r="L2051" s="86"/>
      <c r="M2051" s="87"/>
      <c r="N2051" s="86"/>
      <c r="O2051" s="87"/>
    </row>
    <row r="2052" spans="2:15">
      <c r="B2052" s="83"/>
      <c r="C2052" s="84"/>
      <c r="D2052" s="85"/>
      <c r="E2052" s="85"/>
      <c r="F2052" s="86"/>
      <c r="G2052" s="86"/>
      <c r="H2052" s="87"/>
      <c r="I2052" s="86"/>
      <c r="J2052" s="87"/>
      <c r="K2052" s="86"/>
      <c r="L2052" s="86"/>
      <c r="M2052" s="87"/>
      <c r="N2052" s="86"/>
      <c r="O2052" s="87"/>
    </row>
    <row r="2053" spans="2:15">
      <c r="B2053" s="83"/>
      <c r="C2053" s="84"/>
      <c r="D2053" s="85"/>
      <c r="E2053" s="85"/>
      <c r="F2053" s="86"/>
      <c r="G2053" s="86"/>
      <c r="H2053" s="87"/>
      <c r="I2053" s="86"/>
      <c r="J2053" s="87"/>
      <c r="K2053" s="86"/>
      <c r="L2053" s="86"/>
      <c r="M2053" s="87"/>
      <c r="N2053" s="86"/>
      <c r="O2053" s="87"/>
    </row>
    <row r="2054" spans="2:15">
      <c r="B2054" s="83"/>
      <c r="C2054" s="84"/>
      <c r="D2054" s="85"/>
      <c r="E2054" s="85"/>
      <c r="F2054" s="86"/>
      <c r="G2054" s="86"/>
      <c r="H2054" s="87"/>
      <c r="I2054" s="86"/>
      <c r="J2054" s="87"/>
      <c r="K2054" s="86"/>
      <c r="L2054" s="86"/>
      <c r="M2054" s="87"/>
      <c r="N2054" s="86"/>
      <c r="O2054" s="87"/>
    </row>
    <row r="2055" spans="2:15">
      <c r="B2055" s="83"/>
      <c r="C2055" s="84"/>
      <c r="D2055" s="85"/>
      <c r="E2055" s="85"/>
      <c r="F2055" s="86"/>
      <c r="G2055" s="86"/>
      <c r="H2055" s="87"/>
      <c r="I2055" s="86"/>
      <c r="J2055" s="87"/>
      <c r="K2055" s="86"/>
      <c r="L2055" s="86"/>
      <c r="M2055" s="87"/>
      <c r="N2055" s="86"/>
      <c r="O2055" s="87"/>
    </row>
    <row r="2056" spans="2:15">
      <c r="B2056" s="83"/>
      <c r="C2056" s="84"/>
      <c r="D2056" s="85"/>
      <c r="E2056" s="85"/>
      <c r="F2056" s="86"/>
      <c r="G2056" s="86"/>
      <c r="H2056" s="87"/>
      <c r="I2056" s="86"/>
      <c r="J2056" s="87"/>
      <c r="K2056" s="86"/>
      <c r="L2056" s="86"/>
      <c r="M2056" s="87"/>
      <c r="N2056" s="86"/>
      <c r="O2056" s="87"/>
    </row>
    <row r="2057" spans="2:15">
      <c r="B2057" s="83"/>
      <c r="C2057" s="84"/>
      <c r="D2057" s="85"/>
      <c r="E2057" s="85"/>
      <c r="F2057" s="86"/>
      <c r="G2057" s="86"/>
      <c r="H2057" s="87"/>
      <c r="I2057" s="86"/>
      <c r="J2057" s="87"/>
      <c r="K2057" s="86"/>
      <c r="L2057" s="86"/>
      <c r="M2057" s="87"/>
      <c r="N2057" s="86"/>
      <c r="O2057" s="87"/>
    </row>
    <row r="2058" spans="2:15">
      <c r="B2058" s="83"/>
      <c r="C2058" s="84"/>
      <c r="D2058" s="85"/>
      <c r="E2058" s="85"/>
      <c r="F2058" s="86"/>
      <c r="G2058" s="86"/>
      <c r="H2058" s="87"/>
      <c r="I2058" s="86"/>
      <c r="J2058" s="87"/>
      <c r="K2058" s="86"/>
      <c r="L2058" s="86"/>
      <c r="M2058" s="87"/>
      <c r="N2058" s="86"/>
      <c r="O2058" s="87"/>
    </row>
    <row r="2059" spans="2:15">
      <c r="B2059" s="83"/>
      <c r="C2059" s="84"/>
      <c r="D2059" s="85"/>
      <c r="E2059" s="85"/>
      <c r="F2059" s="86"/>
      <c r="G2059" s="86"/>
      <c r="H2059" s="87"/>
      <c r="I2059" s="86"/>
      <c r="J2059" s="87"/>
      <c r="K2059" s="86"/>
      <c r="L2059" s="86"/>
      <c r="M2059" s="87"/>
      <c r="N2059" s="86"/>
      <c r="O2059" s="87"/>
    </row>
    <row r="2060" spans="2:15">
      <c r="B2060" s="83"/>
      <c r="C2060" s="84"/>
      <c r="D2060" s="85"/>
      <c r="E2060" s="85"/>
      <c r="F2060" s="86"/>
      <c r="G2060" s="86"/>
      <c r="H2060" s="87"/>
      <c r="I2060" s="86"/>
      <c r="J2060" s="87"/>
      <c r="K2060" s="86"/>
      <c r="L2060" s="86"/>
      <c r="M2060" s="87"/>
      <c r="N2060" s="86"/>
      <c r="O2060" s="87"/>
    </row>
    <row r="2061" spans="2:15">
      <c r="B2061" s="83"/>
      <c r="C2061" s="84"/>
      <c r="D2061" s="85"/>
      <c r="E2061" s="85"/>
      <c r="F2061" s="86"/>
      <c r="G2061" s="86"/>
      <c r="H2061" s="87"/>
      <c r="I2061" s="86"/>
      <c r="J2061" s="87"/>
      <c r="K2061" s="86"/>
      <c r="L2061" s="86"/>
      <c r="M2061" s="87"/>
      <c r="N2061" s="86"/>
      <c r="O2061" s="87"/>
    </row>
    <row r="2062" spans="2:15">
      <c r="B2062" s="83"/>
      <c r="C2062" s="84"/>
      <c r="D2062" s="85"/>
      <c r="E2062" s="85"/>
      <c r="F2062" s="86"/>
      <c r="G2062" s="86"/>
      <c r="H2062" s="87"/>
      <c r="I2062" s="86"/>
      <c r="J2062" s="87"/>
      <c r="K2062" s="86"/>
      <c r="L2062" s="86"/>
      <c r="M2062" s="87"/>
      <c r="N2062" s="86"/>
      <c r="O2062" s="87"/>
    </row>
    <row r="2063" spans="2:15">
      <c r="B2063" s="83"/>
      <c r="C2063" s="84"/>
      <c r="D2063" s="85"/>
      <c r="E2063" s="85"/>
      <c r="F2063" s="86"/>
      <c r="G2063" s="86"/>
      <c r="H2063" s="87"/>
      <c r="I2063" s="86"/>
      <c r="J2063" s="87"/>
      <c r="K2063" s="86"/>
      <c r="L2063" s="86"/>
      <c r="M2063" s="87"/>
      <c r="N2063" s="86"/>
      <c r="O2063" s="87"/>
    </row>
    <row r="2064" spans="2:15">
      <c r="B2064" s="83"/>
      <c r="C2064" s="84"/>
      <c r="D2064" s="85"/>
      <c r="E2064" s="85"/>
      <c r="F2064" s="86"/>
      <c r="G2064" s="86"/>
      <c r="H2064" s="87"/>
      <c r="I2064" s="86"/>
      <c r="J2064" s="87"/>
      <c r="K2064" s="86"/>
      <c r="L2064" s="86"/>
      <c r="M2064" s="87"/>
      <c r="N2064" s="86"/>
      <c r="O2064" s="87"/>
    </row>
    <row r="2065" spans="2:15">
      <c r="B2065" s="83"/>
      <c r="C2065" s="84"/>
      <c r="D2065" s="85"/>
      <c r="E2065" s="85"/>
      <c r="F2065" s="86"/>
      <c r="G2065" s="86"/>
      <c r="H2065" s="87"/>
      <c r="I2065" s="86"/>
      <c r="J2065" s="87"/>
      <c r="K2065" s="86"/>
      <c r="L2065" s="86"/>
      <c r="M2065" s="87"/>
      <c r="N2065" s="86"/>
      <c r="O2065" s="87"/>
    </row>
    <row r="2066" spans="2:15">
      <c r="B2066" s="83"/>
      <c r="C2066" s="84"/>
      <c r="D2066" s="85"/>
      <c r="E2066" s="85"/>
      <c r="F2066" s="86"/>
      <c r="G2066" s="86"/>
      <c r="H2066" s="87"/>
      <c r="I2066" s="86"/>
      <c r="J2066" s="87"/>
      <c r="K2066" s="86"/>
      <c r="L2066" s="86"/>
      <c r="M2066" s="87"/>
      <c r="N2066" s="86"/>
      <c r="O2066" s="87"/>
    </row>
    <row r="2067" spans="2:15">
      <c r="B2067" s="83"/>
      <c r="C2067" s="84"/>
      <c r="D2067" s="85"/>
      <c r="E2067" s="85"/>
      <c r="F2067" s="86"/>
      <c r="G2067" s="86"/>
      <c r="H2067" s="87"/>
      <c r="I2067" s="86"/>
      <c r="J2067" s="87"/>
      <c r="K2067" s="86"/>
      <c r="L2067" s="86"/>
      <c r="M2067" s="87"/>
      <c r="N2067" s="86"/>
      <c r="O2067" s="87"/>
    </row>
    <row r="2068" spans="2:15">
      <c r="B2068" s="83"/>
      <c r="C2068" s="84"/>
      <c r="D2068" s="85"/>
      <c r="E2068" s="85"/>
      <c r="F2068" s="86"/>
      <c r="G2068" s="86"/>
      <c r="H2068" s="87"/>
      <c r="I2068" s="86"/>
      <c r="J2068" s="87"/>
      <c r="K2068" s="86"/>
      <c r="L2068" s="86"/>
      <c r="M2068" s="87"/>
      <c r="N2068" s="86"/>
      <c r="O2068" s="87"/>
    </row>
    <row r="2069" spans="2:15">
      <c r="B2069" s="83"/>
      <c r="C2069" s="84"/>
      <c r="D2069" s="85"/>
      <c r="E2069" s="85"/>
      <c r="F2069" s="86"/>
      <c r="G2069" s="86"/>
      <c r="H2069" s="87"/>
      <c r="I2069" s="86"/>
      <c r="J2069" s="87"/>
      <c r="K2069" s="86"/>
      <c r="L2069" s="86"/>
      <c r="M2069" s="87"/>
      <c r="N2069" s="86"/>
      <c r="O2069" s="87"/>
    </row>
    <row r="2070" spans="2:15">
      <c r="B2070" s="83"/>
      <c r="C2070" s="84"/>
      <c r="D2070" s="85"/>
      <c r="E2070" s="85"/>
      <c r="F2070" s="86"/>
      <c r="G2070" s="86"/>
      <c r="H2070" s="87"/>
      <c r="I2070" s="86"/>
      <c r="J2070" s="87"/>
      <c r="K2070" s="86"/>
      <c r="L2070" s="86"/>
      <c r="M2070" s="87"/>
      <c r="N2070" s="86"/>
      <c r="O2070" s="87"/>
    </row>
    <row r="2071" spans="2:15">
      <c r="B2071" s="83"/>
      <c r="C2071" s="84"/>
      <c r="D2071" s="85"/>
      <c r="E2071" s="85"/>
      <c r="F2071" s="86"/>
      <c r="G2071" s="86"/>
      <c r="H2071" s="87"/>
      <c r="I2071" s="86"/>
      <c r="J2071" s="87"/>
      <c r="K2071" s="86"/>
      <c r="L2071" s="86"/>
      <c r="M2071" s="87"/>
      <c r="N2071" s="86"/>
      <c r="O2071" s="87"/>
    </row>
    <row r="2072" spans="2:15">
      <c r="B2072" s="83"/>
      <c r="C2072" s="84"/>
      <c r="D2072" s="85"/>
      <c r="E2072" s="85"/>
      <c r="F2072" s="86"/>
      <c r="G2072" s="86"/>
      <c r="H2072" s="87"/>
      <c r="I2072" s="86"/>
      <c r="J2072" s="87"/>
      <c r="K2072" s="86"/>
      <c r="L2072" s="86"/>
      <c r="M2072" s="87"/>
      <c r="N2072" s="86"/>
      <c r="O2072" s="87"/>
    </row>
    <row r="2073" spans="2:15">
      <c r="B2073" s="83"/>
      <c r="C2073" s="84"/>
      <c r="D2073" s="85"/>
      <c r="E2073" s="85"/>
      <c r="F2073" s="86"/>
      <c r="G2073" s="86"/>
      <c r="H2073" s="87"/>
      <c r="I2073" s="86"/>
      <c r="J2073" s="87"/>
      <c r="K2073" s="86"/>
      <c r="L2073" s="86"/>
      <c r="M2073" s="87"/>
      <c r="N2073" s="86"/>
      <c r="O2073" s="87"/>
    </row>
    <row r="2074" spans="2:15">
      <c r="B2074" s="83"/>
      <c r="C2074" s="84"/>
      <c r="D2074" s="85"/>
      <c r="E2074" s="85"/>
      <c r="F2074" s="86"/>
      <c r="G2074" s="86"/>
      <c r="H2074" s="87"/>
      <c r="I2074" s="86"/>
      <c r="J2074" s="87"/>
      <c r="K2074" s="86"/>
      <c r="L2074" s="86"/>
      <c r="M2074" s="87"/>
      <c r="N2074" s="86"/>
      <c r="O2074" s="87"/>
    </row>
    <row r="2075" spans="2:15">
      <c r="B2075" s="83"/>
      <c r="C2075" s="84"/>
      <c r="D2075" s="85"/>
      <c r="E2075" s="85"/>
      <c r="F2075" s="86"/>
      <c r="G2075" s="86"/>
      <c r="H2075" s="87"/>
      <c r="I2075" s="86"/>
      <c r="J2075" s="87"/>
      <c r="K2075" s="86"/>
      <c r="L2075" s="86"/>
      <c r="M2075" s="87"/>
      <c r="N2075" s="86"/>
      <c r="O2075" s="87"/>
    </row>
    <row r="2076" spans="2:15">
      <c r="B2076" s="83"/>
      <c r="C2076" s="84"/>
      <c r="D2076" s="85"/>
      <c r="E2076" s="85"/>
      <c r="F2076" s="86"/>
      <c r="G2076" s="86"/>
      <c r="H2076" s="87"/>
      <c r="I2076" s="86"/>
      <c r="J2076" s="87"/>
      <c r="K2076" s="86"/>
      <c r="L2076" s="86"/>
      <c r="M2076" s="87"/>
      <c r="N2076" s="86"/>
      <c r="O2076" s="87"/>
    </row>
    <row r="2077" spans="2:15">
      <c r="B2077" s="83"/>
      <c r="C2077" s="84"/>
      <c r="D2077" s="85"/>
      <c r="E2077" s="85"/>
      <c r="F2077" s="86"/>
      <c r="G2077" s="86"/>
      <c r="H2077" s="87"/>
      <c r="I2077" s="86"/>
      <c r="J2077" s="87"/>
      <c r="K2077" s="86"/>
      <c r="L2077" s="86"/>
      <c r="M2077" s="87"/>
      <c r="N2077" s="86"/>
      <c r="O2077" s="87"/>
    </row>
    <row r="2078" spans="2:15">
      <c r="B2078" s="83"/>
      <c r="C2078" s="84"/>
      <c r="D2078" s="85"/>
      <c r="E2078" s="85"/>
      <c r="F2078" s="86"/>
      <c r="G2078" s="86"/>
      <c r="H2078" s="87"/>
      <c r="I2078" s="86"/>
      <c r="J2078" s="87"/>
      <c r="K2078" s="86"/>
      <c r="L2078" s="86"/>
      <c r="M2078" s="87"/>
      <c r="N2078" s="86"/>
      <c r="O2078" s="87"/>
    </row>
    <row r="2079" spans="2:15">
      <c r="B2079" s="83"/>
      <c r="C2079" s="84"/>
      <c r="D2079" s="85"/>
      <c r="E2079" s="85"/>
      <c r="F2079" s="86"/>
      <c r="G2079" s="86"/>
      <c r="H2079" s="87"/>
      <c r="I2079" s="86"/>
      <c r="J2079" s="87"/>
      <c r="K2079" s="86"/>
      <c r="L2079" s="86"/>
      <c r="M2079" s="87"/>
      <c r="N2079" s="86"/>
      <c r="O2079" s="87"/>
    </row>
    <row r="2080" spans="2:15">
      <c r="B2080" s="83"/>
      <c r="C2080" s="84"/>
      <c r="D2080" s="85"/>
      <c r="E2080" s="85"/>
      <c r="F2080" s="86"/>
      <c r="G2080" s="86"/>
      <c r="H2080" s="87"/>
      <c r="I2080" s="86"/>
      <c r="J2080" s="87"/>
      <c r="K2080" s="86"/>
      <c r="L2080" s="86"/>
      <c r="M2080" s="87"/>
      <c r="N2080" s="86"/>
      <c r="O2080" s="87"/>
    </row>
    <row r="2081" spans="2:15">
      <c r="B2081" s="83"/>
      <c r="C2081" s="84"/>
      <c r="D2081" s="85"/>
      <c r="E2081" s="85"/>
      <c r="F2081" s="86"/>
      <c r="G2081" s="86"/>
      <c r="H2081" s="87"/>
      <c r="I2081" s="86"/>
      <c r="J2081" s="87"/>
      <c r="K2081" s="86"/>
      <c r="L2081" s="86"/>
      <c r="M2081" s="87"/>
      <c r="N2081" s="86"/>
      <c r="O2081" s="87"/>
    </row>
    <row r="2082" spans="2:15">
      <c r="B2082" s="83"/>
      <c r="C2082" s="84"/>
      <c r="D2082" s="85"/>
      <c r="E2082" s="85"/>
      <c r="F2082" s="86"/>
      <c r="G2082" s="86"/>
      <c r="H2082" s="87"/>
      <c r="I2082" s="86"/>
      <c r="J2082" s="87"/>
      <c r="K2082" s="86"/>
      <c r="L2082" s="86"/>
      <c r="M2082" s="87"/>
      <c r="N2082" s="86"/>
      <c r="O2082" s="87"/>
    </row>
    <row r="2083" spans="2:15">
      <c r="B2083" s="83"/>
      <c r="C2083" s="84"/>
      <c r="D2083" s="85"/>
      <c r="E2083" s="85"/>
      <c r="F2083" s="86"/>
      <c r="G2083" s="86"/>
      <c r="H2083" s="87"/>
      <c r="I2083" s="86"/>
      <c r="J2083" s="87"/>
      <c r="K2083" s="86"/>
      <c r="L2083" s="86"/>
      <c r="M2083" s="87"/>
      <c r="N2083" s="86"/>
      <c r="O2083" s="87"/>
    </row>
    <row r="2084" spans="2:15">
      <c r="B2084" s="83"/>
      <c r="C2084" s="84"/>
      <c r="D2084" s="85"/>
      <c r="E2084" s="85"/>
      <c r="F2084" s="86"/>
      <c r="G2084" s="86"/>
      <c r="H2084" s="87"/>
      <c r="I2084" s="86"/>
      <c r="J2084" s="87"/>
      <c r="K2084" s="86"/>
      <c r="L2084" s="86"/>
      <c r="M2084" s="87"/>
      <c r="N2084" s="86"/>
      <c r="O2084" s="87"/>
    </row>
    <row r="2085" spans="2:15">
      <c r="B2085" s="83"/>
      <c r="C2085" s="84"/>
      <c r="D2085" s="85"/>
      <c r="E2085" s="85"/>
      <c r="F2085" s="86"/>
      <c r="G2085" s="86"/>
      <c r="H2085" s="87"/>
      <c r="I2085" s="86"/>
      <c r="J2085" s="87"/>
      <c r="K2085" s="86"/>
      <c r="L2085" s="86"/>
      <c r="M2085" s="87"/>
      <c r="N2085" s="86"/>
      <c r="O2085" s="87"/>
    </row>
    <row r="2086" spans="2:15">
      <c r="B2086" s="83"/>
      <c r="C2086" s="84"/>
      <c r="D2086" s="85"/>
      <c r="E2086" s="85"/>
      <c r="F2086" s="86"/>
      <c r="G2086" s="86"/>
      <c r="H2086" s="87"/>
      <c r="I2086" s="86"/>
      <c r="J2086" s="87"/>
      <c r="K2086" s="86"/>
      <c r="L2086" s="86"/>
      <c r="M2086" s="87"/>
      <c r="N2086" s="86"/>
      <c r="O2086" s="87"/>
    </row>
    <row r="2087" spans="2:15">
      <c r="B2087" s="83"/>
      <c r="C2087" s="84"/>
      <c r="D2087" s="85"/>
      <c r="E2087" s="85"/>
      <c r="F2087" s="86"/>
      <c r="G2087" s="86"/>
      <c r="H2087" s="87"/>
      <c r="I2087" s="86"/>
      <c r="J2087" s="87"/>
      <c r="K2087" s="86"/>
      <c r="L2087" s="86"/>
      <c r="M2087" s="87"/>
      <c r="N2087" s="86"/>
      <c r="O2087" s="87"/>
    </row>
    <row r="2088" spans="2:15">
      <c r="B2088" s="83"/>
      <c r="C2088" s="84"/>
      <c r="D2088" s="85"/>
      <c r="E2088" s="85"/>
      <c r="F2088" s="86"/>
      <c r="G2088" s="86"/>
      <c r="H2088" s="87"/>
      <c r="I2088" s="86"/>
      <c r="J2088" s="87"/>
      <c r="K2088" s="86"/>
      <c r="L2088" s="86"/>
      <c r="M2088" s="87"/>
      <c r="N2088" s="86"/>
      <c r="O2088" s="87"/>
    </row>
    <row r="2089" spans="2:15">
      <c r="B2089" s="83"/>
      <c r="C2089" s="84"/>
      <c r="D2089" s="85"/>
      <c r="E2089" s="85"/>
      <c r="F2089" s="86"/>
      <c r="G2089" s="86"/>
      <c r="H2089" s="87"/>
      <c r="I2089" s="86"/>
      <c r="J2089" s="87"/>
      <c r="K2089" s="86"/>
      <c r="L2089" s="86"/>
      <c r="M2089" s="87"/>
      <c r="N2089" s="86"/>
      <c r="O2089" s="87"/>
    </row>
    <row r="2090" spans="2:15">
      <c r="B2090" s="83"/>
      <c r="C2090" s="84"/>
      <c r="D2090" s="85"/>
      <c r="E2090" s="85"/>
      <c r="F2090" s="86"/>
      <c r="G2090" s="86"/>
      <c r="H2090" s="87"/>
      <c r="I2090" s="86"/>
      <c r="J2090" s="87"/>
      <c r="K2090" s="86"/>
      <c r="L2090" s="86"/>
      <c r="M2090" s="87"/>
      <c r="N2090" s="86"/>
      <c r="O2090" s="87"/>
    </row>
    <row r="2091" spans="2:15">
      <c r="B2091" s="83"/>
      <c r="C2091" s="84"/>
      <c r="D2091" s="85"/>
      <c r="E2091" s="85"/>
      <c r="F2091" s="86"/>
      <c r="G2091" s="86"/>
      <c r="H2091" s="87"/>
      <c r="I2091" s="86"/>
      <c r="J2091" s="87"/>
      <c r="K2091" s="86"/>
      <c r="L2091" s="86"/>
      <c r="M2091" s="87"/>
      <c r="N2091" s="86"/>
      <c r="O2091" s="87"/>
    </row>
    <row r="2092" spans="2:15">
      <c r="B2092" s="83"/>
      <c r="C2092" s="84"/>
      <c r="D2092" s="85"/>
      <c r="E2092" s="85"/>
      <c r="F2092" s="86"/>
      <c r="G2092" s="86"/>
      <c r="H2092" s="87"/>
      <c r="I2092" s="86"/>
      <c r="J2092" s="87"/>
      <c r="K2092" s="86"/>
      <c r="L2092" s="86"/>
      <c r="M2092" s="87"/>
      <c r="N2092" s="86"/>
      <c r="O2092" s="87"/>
    </row>
    <row r="2093" spans="2:15">
      <c r="B2093" s="83"/>
      <c r="C2093" s="84"/>
      <c r="D2093" s="85"/>
      <c r="E2093" s="85"/>
      <c r="F2093" s="86"/>
      <c r="G2093" s="86"/>
      <c r="H2093" s="87"/>
      <c r="I2093" s="86"/>
      <c r="J2093" s="87"/>
      <c r="K2093" s="86"/>
      <c r="L2093" s="86"/>
      <c r="M2093" s="87"/>
      <c r="N2093" s="86"/>
      <c r="O2093" s="87"/>
    </row>
    <row r="2094" spans="2:15">
      <c r="B2094" s="83"/>
      <c r="C2094" s="84"/>
      <c r="D2094" s="85"/>
      <c r="E2094" s="85"/>
      <c r="F2094" s="86"/>
      <c r="G2094" s="86"/>
      <c r="H2094" s="87"/>
      <c r="I2094" s="86"/>
      <c r="J2094" s="87"/>
      <c r="K2094" s="86"/>
      <c r="L2094" s="86"/>
      <c r="M2094" s="87"/>
      <c r="N2094" s="86"/>
      <c r="O2094" s="87"/>
    </row>
    <row r="2095" spans="2:15">
      <c r="B2095" s="83"/>
      <c r="C2095" s="84"/>
      <c r="D2095" s="85"/>
      <c r="E2095" s="85"/>
      <c r="F2095" s="86"/>
      <c r="G2095" s="86"/>
      <c r="H2095" s="87"/>
      <c r="I2095" s="86"/>
      <c r="J2095" s="87"/>
      <c r="K2095" s="86"/>
      <c r="L2095" s="86"/>
      <c r="M2095" s="87"/>
      <c r="N2095" s="86"/>
      <c r="O2095" s="87"/>
    </row>
    <row r="2096" spans="2:15">
      <c r="B2096" s="83"/>
      <c r="C2096" s="84"/>
      <c r="D2096" s="85"/>
      <c r="E2096" s="85"/>
      <c r="F2096" s="86"/>
      <c r="G2096" s="86"/>
      <c r="H2096" s="87"/>
      <c r="I2096" s="86"/>
      <c r="J2096" s="87"/>
      <c r="K2096" s="86"/>
      <c r="L2096" s="86"/>
      <c r="M2096" s="87"/>
      <c r="N2096" s="86"/>
      <c r="O2096" s="87"/>
    </row>
    <row r="2097" spans="2:15">
      <c r="B2097" s="83"/>
      <c r="C2097" s="84"/>
      <c r="D2097" s="85"/>
      <c r="E2097" s="85"/>
      <c r="F2097" s="86"/>
      <c r="G2097" s="86"/>
      <c r="H2097" s="87"/>
      <c r="I2097" s="86"/>
      <c r="J2097" s="87"/>
      <c r="K2097" s="86"/>
      <c r="L2097" s="86"/>
      <c r="M2097" s="87"/>
      <c r="N2097" s="86"/>
      <c r="O2097" s="87"/>
    </row>
    <row r="2098" spans="2:15">
      <c r="B2098" s="83"/>
      <c r="C2098" s="84"/>
      <c r="D2098" s="85"/>
      <c r="E2098" s="85"/>
      <c r="F2098" s="86"/>
      <c r="G2098" s="86"/>
      <c r="H2098" s="87"/>
      <c r="I2098" s="86"/>
      <c r="J2098" s="87"/>
      <c r="K2098" s="86"/>
      <c r="L2098" s="86"/>
      <c r="M2098" s="87"/>
      <c r="N2098" s="86"/>
      <c r="O2098" s="87"/>
    </row>
    <row r="2099" spans="2:15">
      <c r="B2099" s="83"/>
      <c r="C2099" s="84"/>
      <c r="D2099" s="85"/>
      <c r="E2099" s="85"/>
      <c r="F2099" s="86"/>
      <c r="G2099" s="86"/>
      <c r="H2099" s="87"/>
      <c r="I2099" s="86"/>
      <c r="J2099" s="87"/>
      <c r="K2099" s="86"/>
      <c r="L2099" s="86"/>
      <c r="M2099" s="87"/>
      <c r="N2099" s="86"/>
      <c r="O2099" s="87"/>
    </row>
    <row r="2100" spans="2:15">
      <c r="B2100" s="83"/>
      <c r="C2100" s="84"/>
      <c r="D2100" s="85"/>
      <c r="E2100" s="85"/>
      <c r="F2100" s="86"/>
      <c r="G2100" s="86"/>
      <c r="H2100" s="87"/>
      <c r="I2100" s="86"/>
      <c r="J2100" s="87"/>
      <c r="K2100" s="86"/>
      <c r="L2100" s="86"/>
      <c r="M2100" s="87"/>
      <c r="N2100" s="86"/>
      <c r="O2100" s="87"/>
    </row>
    <row r="2101" spans="2:15">
      <c r="B2101" s="83"/>
      <c r="C2101" s="84"/>
      <c r="D2101" s="85"/>
      <c r="E2101" s="85"/>
      <c r="F2101" s="86"/>
      <c r="G2101" s="86"/>
      <c r="H2101" s="87"/>
      <c r="I2101" s="86"/>
      <c r="J2101" s="87"/>
      <c r="K2101" s="86"/>
      <c r="L2101" s="86"/>
      <c r="M2101" s="87"/>
      <c r="N2101" s="86"/>
      <c r="O2101" s="87"/>
    </row>
    <row r="2102" spans="2:15">
      <c r="B2102" s="83"/>
      <c r="C2102" s="84"/>
      <c r="D2102" s="85"/>
      <c r="E2102" s="85"/>
      <c r="F2102" s="86"/>
      <c r="G2102" s="86"/>
      <c r="H2102" s="87"/>
      <c r="I2102" s="86"/>
      <c r="J2102" s="87"/>
      <c r="K2102" s="86"/>
      <c r="L2102" s="86"/>
      <c r="M2102" s="87"/>
      <c r="N2102" s="86"/>
      <c r="O2102" s="87"/>
    </row>
    <row r="2103" spans="2:15">
      <c r="B2103" s="83"/>
      <c r="C2103" s="84"/>
      <c r="D2103" s="85"/>
      <c r="E2103" s="85"/>
      <c r="F2103" s="86"/>
      <c r="G2103" s="86"/>
      <c r="H2103" s="87"/>
      <c r="I2103" s="86"/>
      <c r="J2103" s="87"/>
      <c r="K2103" s="86"/>
      <c r="L2103" s="86"/>
      <c r="M2103" s="87"/>
      <c r="N2103" s="86"/>
      <c r="O2103" s="87"/>
    </row>
    <row r="2104" spans="2:15">
      <c r="B2104" s="83"/>
      <c r="C2104" s="84"/>
      <c r="D2104" s="85"/>
      <c r="E2104" s="85"/>
      <c r="F2104" s="86"/>
      <c r="G2104" s="86"/>
      <c r="H2104" s="87"/>
      <c r="I2104" s="86"/>
      <c r="J2104" s="87"/>
      <c r="K2104" s="86"/>
      <c r="L2104" s="86"/>
      <c r="M2104" s="87"/>
      <c r="N2104" s="86"/>
      <c r="O2104" s="87"/>
    </row>
    <row r="2105" spans="2:15">
      <c r="B2105" s="83"/>
      <c r="C2105" s="84"/>
      <c r="D2105" s="85"/>
      <c r="E2105" s="85"/>
      <c r="F2105" s="86"/>
      <c r="G2105" s="86"/>
      <c r="H2105" s="87"/>
      <c r="I2105" s="86"/>
      <c r="J2105" s="87"/>
      <c r="K2105" s="86"/>
      <c r="L2105" s="86"/>
      <c r="M2105" s="87"/>
      <c r="N2105" s="86"/>
      <c r="O2105" s="87"/>
    </row>
    <row r="2106" spans="2:15">
      <c r="B2106" s="83"/>
      <c r="C2106" s="84"/>
      <c r="D2106" s="85"/>
      <c r="E2106" s="85"/>
      <c r="F2106" s="86"/>
      <c r="G2106" s="86"/>
      <c r="H2106" s="87"/>
      <c r="I2106" s="86"/>
      <c r="J2106" s="87"/>
      <c r="K2106" s="86"/>
      <c r="L2106" s="86"/>
      <c r="M2106" s="87"/>
      <c r="N2106" s="86"/>
      <c r="O2106" s="87"/>
    </row>
    <row r="2107" spans="2:15">
      <c r="B2107" s="83"/>
      <c r="C2107" s="84"/>
      <c r="D2107" s="85"/>
      <c r="E2107" s="85"/>
      <c r="F2107" s="86"/>
      <c r="G2107" s="86"/>
      <c r="H2107" s="87"/>
      <c r="I2107" s="86"/>
      <c r="J2107" s="87"/>
      <c r="K2107" s="86"/>
      <c r="L2107" s="86"/>
      <c r="M2107" s="87"/>
      <c r="N2107" s="86"/>
      <c r="O2107" s="87"/>
    </row>
    <row r="2108" spans="2:15">
      <c r="B2108" s="83"/>
      <c r="C2108" s="84"/>
      <c r="D2108" s="85"/>
      <c r="E2108" s="85"/>
      <c r="F2108" s="86"/>
      <c r="G2108" s="86"/>
      <c r="H2108" s="87"/>
      <c r="I2108" s="86"/>
      <c r="J2108" s="87"/>
      <c r="K2108" s="86"/>
      <c r="L2108" s="86"/>
      <c r="M2108" s="87"/>
      <c r="N2108" s="86"/>
      <c r="O2108" s="87"/>
    </row>
    <row r="2109" spans="2:15">
      <c r="B2109" s="83"/>
      <c r="C2109" s="84"/>
      <c r="D2109" s="85"/>
      <c r="E2109" s="85"/>
      <c r="F2109" s="86"/>
      <c r="G2109" s="86"/>
      <c r="H2109" s="87"/>
      <c r="I2109" s="86"/>
      <c r="J2109" s="87"/>
      <c r="K2109" s="86"/>
      <c r="L2109" s="86"/>
      <c r="M2109" s="87"/>
      <c r="N2109" s="86"/>
      <c r="O2109" s="87"/>
    </row>
    <row r="2110" spans="2:15">
      <c r="B2110" s="83"/>
      <c r="C2110" s="84"/>
      <c r="D2110" s="85"/>
      <c r="E2110" s="85"/>
      <c r="F2110" s="86"/>
      <c r="G2110" s="86"/>
      <c r="H2110" s="87"/>
      <c r="I2110" s="86"/>
      <c r="J2110" s="87"/>
      <c r="K2110" s="86"/>
      <c r="L2110" s="86"/>
      <c r="M2110" s="87"/>
      <c r="N2110" s="86"/>
      <c r="O2110" s="87"/>
    </row>
    <row r="2111" spans="2:15">
      <c r="B2111" s="83"/>
      <c r="C2111" s="84"/>
      <c r="D2111" s="85"/>
      <c r="E2111" s="85"/>
      <c r="F2111" s="86"/>
      <c r="G2111" s="86"/>
      <c r="H2111" s="87"/>
      <c r="I2111" s="86"/>
      <c r="J2111" s="87"/>
      <c r="K2111" s="86"/>
      <c r="L2111" s="86"/>
      <c r="M2111" s="87"/>
      <c r="N2111" s="86"/>
      <c r="O2111" s="87"/>
    </row>
    <row r="2112" spans="2:15">
      <c r="B2112" s="83"/>
      <c r="C2112" s="84"/>
      <c r="D2112" s="85"/>
      <c r="E2112" s="85"/>
      <c r="F2112" s="86"/>
      <c r="G2112" s="86"/>
      <c r="H2112" s="87"/>
      <c r="I2112" s="86"/>
      <c r="J2112" s="87"/>
      <c r="K2112" s="86"/>
      <c r="L2112" s="86"/>
      <c r="M2112" s="87"/>
      <c r="N2112" s="86"/>
      <c r="O2112" s="87"/>
    </row>
    <row r="2113" spans="2:15">
      <c r="B2113" s="83"/>
      <c r="C2113" s="84"/>
      <c r="D2113" s="85"/>
      <c r="E2113" s="85"/>
      <c r="F2113" s="86"/>
      <c r="G2113" s="86"/>
      <c r="H2113" s="87"/>
      <c r="I2113" s="86"/>
      <c r="J2113" s="87"/>
      <c r="K2113" s="86"/>
      <c r="L2113" s="86"/>
      <c r="M2113" s="87"/>
      <c r="N2113" s="86"/>
      <c r="O2113" s="87"/>
    </row>
    <row r="2114" spans="2:15">
      <c r="B2114" s="83"/>
      <c r="C2114" s="84"/>
      <c r="D2114" s="85"/>
      <c r="E2114" s="85"/>
      <c r="F2114" s="86"/>
      <c r="G2114" s="86"/>
      <c r="H2114" s="87"/>
      <c r="I2114" s="86"/>
      <c r="J2114" s="87"/>
      <c r="K2114" s="86"/>
      <c r="L2114" s="86"/>
      <c r="M2114" s="87"/>
      <c r="N2114" s="86"/>
      <c r="O2114" s="87"/>
    </row>
    <row r="2115" spans="2:15">
      <c r="B2115" s="83"/>
      <c r="C2115" s="84"/>
      <c r="D2115" s="85"/>
      <c r="E2115" s="85"/>
      <c r="F2115" s="86"/>
      <c r="G2115" s="86"/>
      <c r="H2115" s="87"/>
      <c r="I2115" s="86"/>
      <c r="J2115" s="87"/>
      <c r="K2115" s="86"/>
      <c r="L2115" s="86"/>
      <c r="M2115" s="87"/>
      <c r="N2115" s="86"/>
      <c r="O2115" s="87"/>
    </row>
    <row r="2116" spans="2:15">
      <c r="B2116" s="83"/>
      <c r="C2116" s="84"/>
      <c r="D2116" s="85"/>
      <c r="E2116" s="85"/>
      <c r="F2116" s="86"/>
      <c r="G2116" s="86"/>
      <c r="H2116" s="87"/>
      <c r="I2116" s="86"/>
      <c r="J2116" s="87"/>
      <c r="K2116" s="86"/>
      <c r="L2116" s="86"/>
      <c r="M2116" s="87"/>
      <c r="N2116" s="86"/>
      <c r="O2116" s="87"/>
    </row>
    <row r="2117" spans="2:15">
      <c r="B2117" s="83"/>
      <c r="C2117" s="84"/>
      <c r="D2117" s="85"/>
      <c r="E2117" s="85"/>
      <c r="F2117" s="86"/>
      <c r="G2117" s="86"/>
      <c r="H2117" s="87"/>
      <c r="I2117" s="86"/>
      <c r="J2117" s="87"/>
      <c r="K2117" s="86"/>
      <c r="L2117" s="86"/>
      <c r="M2117" s="87"/>
      <c r="N2117" s="86"/>
      <c r="O2117" s="87"/>
    </row>
    <row r="2118" spans="2:15">
      <c r="B2118" s="83"/>
      <c r="C2118" s="84"/>
      <c r="D2118" s="85"/>
      <c r="E2118" s="85"/>
      <c r="F2118" s="86"/>
      <c r="G2118" s="86"/>
      <c r="H2118" s="87"/>
      <c r="I2118" s="86"/>
      <c r="J2118" s="87"/>
      <c r="K2118" s="86"/>
      <c r="L2118" s="86"/>
      <c r="M2118" s="87"/>
      <c r="N2118" s="86"/>
      <c r="O2118" s="87"/>
    </row>
    <row r="2119" spans="2:15">
      <c r="B2119" s="83"/>
      <c r="C2119" s="84"/>
      <c r="D2119" s="85"/>
      <c r="E2119" s="85"/>
      <c r="F2119" s="86"/>
      <c r="G2119" s="86"/>
      <c r="H2119" s="87"/>
      <c r="I2119" s="86"/>
      <c r="J2119" s="87"/>
      <c r="K2119" s="86"/>
      <c r="L2119" s="86"/>
      <c r="M2119" s="87"/>
      <c r="N2119" s="86"/>
      <c r="O2119" s="87"/>
    </row>
    <row r="2120" spans="2:15">
      <c r="B2120" s="83"/>
      <c r="C2120" s="84"/>
      <c r="D2120" s="85"/>
      <c r="E2120" s="85"/>
      <c r="F2120" s="86"/>
      <c r="G2120" s="86"/>
      <c r="H2120" s="87"/>
      <c r="I2120" s="86"/>
      <c r="J2120" s="87"/>
      <c r="K2120" s="86"/>
      <c r="L2120" s="86"/>
      <c r="M2120" s="87"/>
      <c r="N2120" s="86"/>
      <c r="O2120" s="87"/>
    </row>
    <row r="2121" spans="2:15">
      <c r="B2121" s="83"/>
      <c r="C2121" s="84"/>
      <c r="D2121" s="85"/>
      <c r="E2121" s="85"/>
      <c r="F2121" s="86"/>
      <c r="G2121" s="86"/>
      <c r="H2121" s="87"/>
      <c r="I2121" s="86"/>
      <c r="J2121" s="87"/>
      <c r="K2121" s="86"/>
      <c r="L2121" s="86"/>
      <c r="M2121" s="87"/>
      <c r="N2121" s="86"/>
      <c r="O2121" s="87"/>
    </row>
    <row r="2122" spans="2:15">
      <c r="B2122" s="83"/>
      <c r="C2122" s="84"/>
      <c r="D2122" s="85"/>
      <c r="E2122" s="85"/>
      <c r="F2122" s="86"/>
      <c r="G2122" s="86"/>
      <c r="H2122" s="87"/>
      <c r="I2122" s="86"/>
      <c r="J2122" s="87"/>
      <c r="K2122" s="86"/>
      <c r="L2122" s="86"/>
      <c r="M2122" s="87"/>
      <c r="N2122" s="86"/>
      <c r="O2122" s="87"/>
    </row>
    <row r="2123" spans="2:15">
      <c r="B2123" s="83"/>
      <c r="C2123" s="84"/>
      <c r="D2123" s="85"/>
      <c r="E2123" s="85"/>
      <c r="F2123" s="86"/>
      <c r="G2123" s="86"/>
      <c r="H2123" s="87"/>
      <c r="I2123" s="86"/>
      <c r="J2123" s="87"/>
      <c r="K2123" s="86"/>
      <c r="L2123" s="86"/>
      <c r="M2123" s="87"/>
      <c r="N2123" s="86"/>
      <c r="O2123" s="87"/>
    </row>
    <row r="2124" spans="2:15">
      <c r="B2124" s="83"/>
      <c r="C2124" s="84"/>
      <c r="D2124" s="85"/>
      <c r="E2124" s="85"/>
      <c r="F2124" s="86"/>
      <c r="G2124" s="86"/>
      <c r="H2124" s="87"/>
      <c r="I2124" s="86"/>
      <c r="J2124" s="87"/>
      <c r="K2124" s="86"/>
      <c r="L2124" s="86"/>
      <c r="M2124" s="87"/>
      <c r="N2124" s="86"/>
      <c r="O2124" s="87"/>
    </row>
    <row r="2125" spans="2:15">
      <c r="B2125" s="83"/>
      <c r="C2125" s="84"/>
      <c r="D2125" s="85"/>
      <c r="E2125" s="85"/>
      <c r="F2125" s="86"/>
      <c r="G2125" s="86"/>
      <c r="H2125" s="87"/>
      <c r="I2125" s="86"/>
      <c r="J2125" s="87"/>
      <c r="K2125" s="86"/>
      <c r="L2125" s="86"/>
      <c r="M2125" s="87"/>
      <c r="N2125" s="86"/>
      <c r="O2125" s="87"/>
    </row>
    <row r="2126" spans="2:15">
      <c r="B2126" s="83"/>
      <c r="C2126" s="84"/>
      <c r="D2126" s="85"/>
      <c r="E2126" s="85"/>
      <c r="F2126" s="86"/>
      <c r="G2126" s="86"/>
      <c r="H2126" s="87"/>
      <c r="I2126" s="86"/>
      <c r="J2126" s="87"/>
      <c r="K2126" s="86"/>
      <c r="L2126" s="86"/>
      <c r="M2126" s="87"/>
      <c r="N2126" s="86"/>
      <c r="O2126" s="87"/>
    </row>
    <row r="2127" spans="2:15">
      <c r="B2127" s="83"/>
      <c r="C2127" s="84"/>
      <c r="D2127" s="85"/>
      <c r="E2127" s="85"/>
      <c r="F2127" s="86"/>
      <c r="G2127" s="86"/>
      <c r="H2127" s="87"/>
      <c r="I2127" s="86"/>
      <c r="J2127" s="87"/>
      <c r="K2127" s="86"/>
      <c r="L2127" s="86"/>
      <c r="M2127" s="87"/>
      <c r="N2127" s="86"/>
      <c r="O2127" s="87"/>
    </row>
    <row r="2128" spans="2:15">
      <c r="B2128" s="83"/>
      <c r="C2128" s="84"/>
      <c r="D2128" s="85"/>
      <c r="E2128" s="85"/>
      <c r="F2128" s="86"/>
      <c r="G2128" s="86"/>
      <c r="H2128" s="87"/>
      <c r="I2128" s="86"/>
      <c r="J2128" s="87"/>
      <c r="K2128" s="86"/>
      <c r="L2128" s="86"/>
      <c r="M2128" s="87"/>
      <c r="N2128" s="86"/>
      <c r="O2128" s="87"/>
    </row>
    <row r="2129" spans="2:15">
      <c r="B2129" s="83"/>
      <c r="C2129" s="84"/>
      <c r="D2129" s="85"/>
      <c r="E2129" s="85"/>
      <c r="F2129" s="86"/>
      <c r="G2129" s="86"/>
      <c r="H2129" s="87"/>
      <c r="I2129" s="86"/>
      <c r="J2129" s="87"/>
      <c r="K2129" s="86"/>
      <c r="L2129" s="86"/>
      <c r="M2129" s="87"/>
      <c r="N2129" s="86"/>
      <c r="O2129" s="87"/>
    </row>
    <row r="2130" spans="2:15">
      <c r="B2130" s="83"/>
      <c r="C2130" s="84"/>
      <c r="D2130" s="85"/>
      <c r="E2130" s="85"/>
      <c r="F2130" s="86"/>
      <c r="G2130" s="86"/>
      <c r="H2130" s="87"/>
      <c r="I2130" s="86"/>
      <c r="J2130" s="87"/>
      <c r="K2130" s="86"/>
      <c r="L2130" s="86"/>
      <c r="M2130" s="87"/>
      <c r="N2130" s="86"/>
      <c r="O2130" s="87"/>
    </row>
    <row r="2131" spans="2:15">
      <c r="B2131" s="83"/>
      <c r="C2131" s="84"/>
      <c r="D2131" s="85"/>
      <c r="E2131" s="85"/>
      <c r="F2131" s="86"/>
      <c r="G2131" s="86"/>
      <c r="H2131" s="87"/>
      <c r="I2131" s="86"/>
      <c r="J2131" s="87"/>
      <c r="K2131" s="86"/>
      <c r="L2131" s="86"/>
      <c r="M2131" s="87"/>
      <c r="N2131" s="86"/>
      <c r="O2131" s="87"/>
    </row>
    <row r="2132" spans="2:15">
      <c r="B2132" s="83"/>
      <c r="C2132" s="84"/>
      <c r="D2132" s="85"/>
      <c r="E2132" s="85"/>
      <c r="F2132" s="86"/>
      <c r="G2132" s="86"/>
      <c r="H2132" s="87"/>
      <c r="I2132" s="86"/>
      <c r="J2132" s="87"/>
      <c r="K2132" s="86"/>
      <c r="L2132" s="86"/>
      <c r="M2132" s="87"/>
      <c r="N2132" s="86"/>
      <c r="O2132" s="87"/>
    </row>
    <row r="2133" spans="2:15">
      <c r="B2133" s="83"/>
      <c r="C2133" s="84"/>
      <c r="D2133" s="85"/>
      <c r="E2133" s="85"/>
      <c r="F2133" s="86"/>
      <c r="G2133" s="86"/>
      <c r="H2133" s="87"/>
      <c r="I2133" s="86"/>
      <c r="J2133" s="87"/>
      <c r="K2133" s="86"/>
      <c r="L2133" s="86"/>
      <c r="M2133" s="87"/>
      <c r="N2133" s="86"/>
      <c r="O2133" s="87"/>
    </row>
    <row r="2134" spans="2:15">
      <c r="B2134" s="83"/>
      <c r="C2134" s="84"/>
      <c r="D2134" s="85"/>
      <c r="E2134" s="85"/>
      <c r="F2134" s="86"/>
      <c r="G2134" s="86"/>
      <c r="H2134" s="87"/>
      <c r="I2134" s="86"/>
      <c r="J2134" s="87"/>
      <c r="K2134" s="86"/>
      <c r="L2134" s="86"/>
      <c r="M2134" s="87"/>
      <c r="N2134" s="86"/>
      <c r="O2134" s="87"/>
    </row>
    <row r="2135" spans="2:15">
      <c r="B2135" s="83"/>
      <c r="C2135" s="84"/>
      <c r="D2135" s="85"/>
      <c r="E2135" s="85"/>
      <c r="F2135" s="86"/>
      <c r="G2135" s="86"/>
      <c r="H2135" s="87"/>
      <c r="I2135" s="86"/>
      <c r="J2135" s="87"/>
      <c r="K2135" s="86"/>
      <c r="L2135" s="86"/>
      <c r="M2135" s="87"/>
      <c r="N2135" s="86"/>
      <c r="O2135" s="87"/>
    </row>
    <row r="2136" spans="2:15">
      <c r="B2136" s="83"/>
      <c r="C2136" s="84"/>
      <c r="D2136" s="85"/>
      <c r="E2136" s="85"/>
      <c r="F2136" s="86"/>
      <c r="G2136" s="86"/>
      <c r="H2136" s="87"/>
      <c r="I2136" s="86"/>
      <c r="J2136" s="87"/>
      <c r="K2136" s="86"/>
      <c r="L2136" s="86"/>
      <c r="M2136" s="87"/>
      <c r="N2136" s="86"/>
      <c r="O2136" s="87"/>
    </row>
    <row r="2137" spans="2:15">
      <c r="B2137" s="83"/>
      <c r="C2137" s="84"/>
      <c r="D2137" s="85"/>
      <c r="E2137" s="85"/>
      <c r="F2137" s="86"/>
      <c r="G2137" s="86"/>
      <c r="H2137" s="87"/>
      <c r="I2137" s="86"/>
      <c r="J2137" s="87"/>
      <c r="K2137" s="86"/>
      <c r="L2137" s="86"/>
      <c r="M2137" s="87"/>
      <c r="N2137" s="86"/>
      <c r="O2137" s="87"/>
    </row>
    <row r="2138" spans="2:15">
      <c r="B2138" s="83"/>
      <c r="C2138" s="84"/>
      <c r="D2138" s="85"/>
      <c r="E2138" s="85"/>
      <c r="F2138" s="86"/>
      <c r="G2138" s="86"/>
      <c r="H2138" s="87"/>
      <c r="I2138" s="86"/>
      <c r="J2138" s="87"/>
      <c r="K2138" s="86"/>
      <c r="L2138" s="86"/>
      <c r="M2138" s="87"/>
      <c r="N2138" s="86"/>
      <c r="O2138" s="87"/>
    </row>
    <row r="2139" spans="2:15">
      <c r="B2139" s="83"/>
      <c r="C2139" s="84"/>
      <c r="D2139" s="85"/>
      <c r="E2139" s="85"/>
      <c r="F2139" s="86"/>
      <c r="G2139" s="86"/>
      <c r="H2139" s="87"/>
      <c r="I2139" s="86"/>
      <c r="J2139" s="87"/>
      <c r="K2139" s="86"/>
      <c r="L2139" s="86"/>
      <c r="M2139" s="87"/>
      <c r="N2139" s="86"/>
      <c r="O2139" s="87"/>
    </row>
    <row r="2140" spans="2:15">
      <c r="B2140" s="83"/>
      <c r="C2140" s="84"/>
      <c r="D2140" s="85"/>
      <c r="E2140" s="85"/>
      <c r="F2140" s="86"/>
      <c r="G2140" s="86"/>
      <c r="H2140" s="87"/>
      <c r="I2140" s="86"/>
      <c r="J2140" s="87"/>
      <c r="K2140" s="86"/>
      <c r="L2140" s="86"/>
      <c r="M2140" s="87"/>
      <c r="N2140" s="86"/>
      <c r="O2140" s="87"/>
    </row>
    <row r="2141" spans="2:15">
      <c r="B2141" s="83"/>
      <c r="C2141" s="84"/>
      <c r="D2141" s="85"/>
      <c r="E2141" s="85"/>
      <c r="F2141" s="86"/>
      <c r="G2141" s="86"/>
      <c r="H2141" s="87"/>
      <c r="I2141" s="86"/>
      <c r="J2141" s="87"/>
      <c r="K2141" s="86"/>
      <c r="L2141" s="86"/>
      <c r="M2141" s="87"/>
      <c r="N2141" s="86"/>
      <c r="O2141" s="87"/>
    </row>
    <row r="2142" spans="2:15">
      <c r="B2142" s="83"/>
      <c r="C2142" s="84"/>
      <c r="D2142" s="85"/>
      <c r="E2142" s="85"/>
      <c r="F2142" s="86"/>
      <c r="G2142" s="86"/>
      <c r="H2142" s="87"/>
      <c r="I2142" s="86"/>
      <c r="J2142" s="87"/>
      <c r="K2142" s="86"/>
      <c r="L2142" s="86"/>
      <c r="M2142" s="87"/>
      <c r="N2142" s="86"/>
      <c r="O2142" s="87"/>
    </row>
    <row r="2143" spans="2:15">
      <c r="B2143" s="83"/>
      <c r="C2143" s="84"/>
      <c r="D2143" s="85"/>
      <c r="E2143" s="85"/>
      <c r="F2143" s="86"/>
      <c r="G2143" s="86"/>
      <c r="H2143" s="87"/>
      <c r="I2143" s="86"/>
      <c r="J2143" s="87"/>
      <c r="K2143" s="86"/>
      <c r="L2143" s="86"/>
      <c r="M2143" s="87"/>
      <c r="N2143" s="86"/>
      <c r="O2143" s="87"/>
    </row>
    <row r="2144" spans="2:15">
      <c r="B2144" s="83"/>
      <c r="C2144" s="84"/>
      <c r="D2144" s="85"/>
      <c r="E2144" s="85"/>
      <c r="F2144" s="86"/>
      <c r="G2144" s="86"/>
      <c r="H2144" s="87"/>
      <c r="I2144" s="86"/>
      <c r="J2144" s="87"/>
      <c r="K2144" s="86"/>
      <c r="L2144" s="86"/>
      <c r="M2144" s="87"/>
      <c r="N2144" s="86"/>
      <c r="O2144" s="87"/>
    </row>
    <row r="2145" spans="2:15">
      <c r="B2145" s="83"/>
      <c r="C2145" s="84"/>
      <c r="D2145" s="85"/>
      <c r="E2145" s="85"/>
      <c r="F2145" s="86"/>
      <c r="G2145" s="86"/>
      <c r="H2145" s="87"/>
      <c r="I2145" s="86"/>
      <c r="J2145" s="87"/>
      <c r="K2145" s="86"/>
      <c r="L2145" s="86"/>
      <c r="M2145" s="87"/>
      <c r="N2145" s="86"/>
      <c r="O2145" s="87"/>
    </row>
    <row r="2146" spans="2:15">
      <c r="B2146" s="83"/>
      <c r="C2146" s="84"/>
      <c r="D2146" s="85"/>
      <c r="E2146" s="85"/>
      <c r="F2146" s="86"/>
      <c r="G2146" s="86"/>
      <c r="H2146" s="87"/>
      <c r="I2146" s="86"/>
      <c r="J2146" s="87"/>
      <c r="K2146" s="86"/>
      <c r="L2146" s="86"/>
      <c r="M2146" s="87"/>
      <c r="N2146" s="86"/>
      <c r="O2146" s="87"/>
    </row>
    <row r="2147" spans="2:15">
      <c r="B2147" s="83"/>
      <c r="C2147" s="84"/>
      <c r="D2147" s="85"/>
      <c r="E2147" s="85"/>
      <c r="F2147" s="86"/>
      <c r="G2147" s="86"/>
      <c r="H2147" s="87"/>
      <c r="I2147" s="86"/>
      <c r="J2147" s="87"/>
      <c r="K2147" s="86"/>
      <c r="L2147" s="86"/>
      <c r="M2147" s="87"/>
      <c r="N2147" s="86"/>
      <c r="O2147" s="87"/>
    </row>
    <row r="2148" spans="2:15">
      <c r="B2148" s="83"/>
      <c r="C2148" s="84"/>
      <c r="D2148" s="85"/>
      <c r="E2148" s="85"/>
      <c r="F2148" s="86"/>
      <c r="G2148" s="86"/>
      <c r="H2148" s="87"/>
      <c r="I2148" s="86"/>
      <c r="J2148" s="87"/>
      <c r="K2148" s="86"/>
      <c r="L2148" s="86"/>
      <c r="M2148" s="87"/>
      <c r="N2148" s="86"/>
      <c r="O2148" s="87"/>
    </row>
    <row r="2149" spans="2:15">
      <c r="B2149" s="83"/>
      <c r="C2149" s="84"/>
      <c r="D2149" s="85"/>
      <c r="E2149" s="85"/>
      <c r="F2149" s="86"/>
      <c r="G2149" s="86"/>
      <c r="H2149" s="87"/>
      <c r="I2149" s="86"/>
      <c r="J2149" s="87"/>
      <c r="K2149" s="86"/>
      <c r="L2149" s="86"/>
      <c r="M2149" s="87"/>
      <c r="N2149" s="86"/>
      <c r="O2149" s="87"/>
    </row>
    <row r="2150" spans="2:15">
      <c r="B2150" s="83"/>
      <c r="C2150" s="84"/>
      <c r="D2150" s="85"/>
      <c r="E2150" s="85"/>
      <c r="F2150" s="86"/>
      <c r="G2150" s="86"/>
      <c r="H2150" s="87"/>
      <c r="I2150" s="86"/>
      <c r="J2150" s="87"/>
      <c r="K2150" s="86"/>
      <c r="L2150" s="86"/>
      <c r="M2150" s="87"/>
      <c r="N2150" s="86"/>
      <c r="O2150" s="87"/>
    </row>
    <row r="2151" spans="2:15">
      <c r="B2151" s="83"/>
      <c r="C2151" s="84"/>
      <c r="D2151" s="85"/>
      <c r="E2151" s="85"/>
      <c r="F2151" s="86"/>
      <c r="G2151" s="86"/>
      <c r="H2151" s="87"/>
      <c r="I2151" s="86"/>
      <c r="J2151" s="87"/>
      <c r="K2151" s="86"/>
      <c r="L2151" s="86"/>
      <c r="M2151" s="87"/>
      <c r="N2151" s="86"/>
      <c r="O2151" s="87"/>
    </row>
    <row r="2152" spans="2:15">
      <c r="B2152" s="83"/>
      <c r="C2152" s="84"/>
      <c r="D2152" s="85"/>
      <c r="E2152" s="85"/>
      <c r="F2152" s="86"/>
      <c r="G2152" s="86"/>
      <c r="H2152" s="87"/>
      <c r="I2152" s="86"/>
      <c r="J2152" s="87"/>
      <c r="K2152" s="86"/>
      <c r="L2152" s="86"/>
      <c r="M2152" s="87"/>
      <c r="N2152" s="86"/>
      <c r="O2152" s="87"/>
    </row>
    <row r="2153" spans="2:15">
      <c r="B2153" s="83"/>
      <c r="C2153" s="84"/>
      <c r="D2153" s="85"/>
      <c r="E2153" s="85"/>
      <c r="F2153" s="86"/>
      <c r="G2153" s="86"/>
      <c r="H2153" s="87"/>
      <c r="I2153" s="86"/>
      <c r="J2153" s="87"/>
      <c r="K2153" s="86"/>
      <c r="L2153" s="86"/>
      <c r="M2153" s="87"/>
      <c r="N2153" s="86"/>
      <c r="O2153" s="87"/>
    </row>
    <row r="2154" spans="2:15">
      <c r="B2154" s="83"/>
      <c r="C2154" s="84"/>
      <c r="D2154" s="85"/>
      <c r="E2154" s="85"/>
      <c r="F2154" s="86"/>
      <c r="G2154" s="86"/>
      <c r="H2154" s="87"/>
      <c r="I2154" s="86"/>
      <c r="J2154" s="87"/>
      <c r="K2154" s="86"/>
      <c r="L2154" s="86"/>
      <c r="M2154" s="87"/>
      <c r="N2154" s="86"/>
      <c r="O2154" s="87"/>
    </row>
    <row r="2155" spans="2:15">
      <c r="B2155" s="83"/>
      <c r="C2155" s="84"/>
      <c r="D2155" s="85"/>
      <c r="E2155" s="85"/>
      <c r="F2155" s="86"/>
      <c r="G2155" s="86"/>
      <c r="H2155" s="87"/>
      <c r="I2155" s="86"/>
      <c r="J2155" s="87"/>
      <c r="K2155" s="86"/>
      <c r="L2155" s="86"/>
      <c r="M2155" s="87"/>
      <c r="N2155" s="86"/>
      <c r="O2155" s="87"/>
    </row>
    <row r="2156" spans="2:15">
      <c r="B2156" s="83"/>
      <c r="C2156" s="84"/>
      <c r="D2156" s="85"/>
      <c r="E2156" s="85"/>
      <c r="F2156" s="86"/>
      <c r="G2156" s="86"/>
      <c r="H2156" s="87"/>
      <c r="I2156" s="86"/>
      <c r="J2156" s="87"/>
      <c r="K2156" s="86"/>
      <c r="L2156" s="86"/>
      <c r="M2156" s="87"/>
      <c r="N2156" s="86"/>
      <c r="O2156" s="87"/>
    </row>
    <row r="2157" spans="2:15">
      <c r="B2157" s="83"/>
      <c r="C2157" s="84"/>
      <c r="D2157" s="85"/>
      <c r="E2157" s="85"/>
      <c r="F2157" s="86"/>
      <c r="G2157" s="86"/>
      <c r="H2157" s="87"/>
      <c r="I2157" s="86"/>
      <c r="J2157" s="87"/>
      <c r="K2157" s="86"/>
      <c r="L2157" s="86"/>
      <c r="M2157" s="87"/>
      <c r="N2157" s="86"/>
      <c r="O2157" s="87"/>
    </row>
    <row r="2158" spans="2:15">
      <c r="B2158" s="83"/>
      <c r="C2158" s="84"/>
      <c r="D2158" s="85"/>
      <c r="E2158" s="85"/>
      <c r="F2158" s="86"/>
      <c r="G2158" s="86"/>
      <c r="H2158" s="87"/>
      <c r="I2158" s="86"/>
      <c r="J2158" s="87"/>
      <c r="K2158" s="86"/>
      <c r="L2158" s="86"/>
      <c r="M2158" s="87"/>
      <c r="N2158" s="86"/>
      <c r="O2158" s="87"/>
    </row>
    <row r="2159" spans="2:15">
      <c r="B2159" s="83"/>
      <c r="C2159" s="84"/>
      <c r="D2159" s="85"/>
      <c r="E2159" s="85"/>
      <c r="F2159" s="86"/>
      <c r="G2159" s="86"/>
      <c r="H2159" s="87"/>
      <c r="I2159" s="86"/>
      <c r="J2159" s="87"/>
      <c r="K2159" s="86"/>
      <c r="L2159" s="86"/>
      <c r="M2159" s="87"/>
      <c r="N2159" s="86"/>
      <c r="O2159" s="87"/>
    </row>
    <row r="2160" spans="2:15">
      <c r="B2160" s="83"/>
      <c r="C2160" s="84"/>
      <c r="D2160" s="85"/>
      <c r="E2160" s="85"/>
      <c r="F2160" s="86"/>
      <c r="G2160" s="86"/>
      <c r="H2160" s="87"/>
      <c r="I2160" s="86"/>
      <c r="J2160" s="87"/>
      <c r="K2160" s="86"/>
      <c r="L2160" s="86"/>
      <c r="M2160" s="87"/>
      <c r="N2160" s="86"/>
      <c r="O2160" s="87"/>
    </row>
    <row r="2161" spans="2:15">
      <c r="B2161" s="83"/>
      <c r="C2161" s="84"/>
      <c r="D2161" s="85"/>
      <c r="E2161" s="85"/>
      <c r="F2161" s="86"/>
      <c r="G2161" s="86"/>
      <c r="H2161" s="87"/>
      <c r="I2161" s="86"/>
      <c r="J2161" s="87"/>
      <c r="K2161" s="86"/>
      <c r="L2161" s="86"/>
      <c r="M2161" s="87"/>
      <c r="N2161" s="86"/>
      <c r="O2161" s="87"/>
    </row>
    <row r="2162" spans="2:15">
      <c r="B2162" s="83"/>
      <c r="C2162" s="84"/>
      <c r="D2162" s="85"/>
      <c r="E2162" s="85"/>
      <c r="F2162" s="86"/>
      <c r="G2162" s="86"/>
      <c r="H2162" s="87"/>
      <c r="I2162" s="86"/>
      <c r="J2162" s="87"/>
      <c r="K2162" s="86"/>
      <c r="L2162" s="86"/>
      <c r="M2162" s="87"/>
      <c r="N2162" s="86"/>
      <c r="O2162" s="87"/>
    </row>
    <row r="2163" spans="2:15">
      <c r="B2163" s="83"/>
      <c r="C2163" s="84"/>
      <c r="D2163" s="85"/>
      <c r="E2163" s="85"/>
      <c r="F2163" s="86"/>
      <c r="G2163" s="86"/>
      <c r="H2163" s="87"/>
      <c r="I2163" s="86"/>
      <c r="J2163" s="87"/>
      <c r="K2163" s="86"/>
      <c r="L2163" s="86"/>
      <c r="M2163" s="87"/>
      <c r="N2163" s="86"/>
      <c r="O2163" s="87"/>
    </row>
    <row r="2164" spans="2:15">
      <c r="B2164" s="83"/>
      <c r="C2164" s="84"/>
      <c r="D2164" s="85"/>
      <c r="E2164" s="85"/>
      <c r="F2164" s="86"/>
      <c r="G2164" s="86"/>
      <c r="H2164" s="87"/>
      <c r="I2164" s="86"/>
      <c r="J2164" s="87"/>
      <c r="K2164" s="86"/>
      <c r="L2164" s="86"/>
      <c r="M2164" s="87"/>
      <c r="N2164" s="86"/>
      <c r="O2164" s="87"/>
    </row>
    <row r="2165" spans="2:15">
      <c r="B2165" s="83"/>
      <c r="C2165" s="84"/>
      <c r="D2165" s="85"/>
      <c r="E2165" s="85"/>
      <c r="F2165" s="86"/>
      <c r="G2165" s="86"/>
      <c r="H2165" s="87"/>
      <c r="I2165" s="86"/>
      <c r="J2165" s="87"/>
      <c r="K2165" s="86"/>
      <c r="L2165" s="86"/>
      <c r="M2165" s="87"/>
      <c r="N2165" s="86"/>
      <c r="O2165" s="87"/>
    </row>
    <row r="2166" spans="2:15">
      <c r="B2166" s="83"/>
      <c r="C2166" s="84"/>
      <c r="D2166" s="85"/>
      <c r="E2166" s="85"/>
      <c r="F2166" s="86"/>
      <c r="G2166" s="86"/>
      <c r="H2166" s="87"/>
      <c r="I2166" s="86"/>
      <c r="J2166" s="87"/>
      <c r="K2166" s="86"/>
      <c r="L2166" s="86"/>
      <c r="M2166" s="87"/>
      <c r="N2166" s="86"/>
      <c r="O2166" s="87"/>
    </row>
    <row r="2167" spans="2:15">
      <c r="B2167" s="83"/>
      <c r="C2167" s="84"/>
      <c r="D2167" s="85"/>
      <c r="E2167" s="85"/>
      <c r="F2167" s="86"/>
      <c r="G2167" s="86"/>
      <c r="H2167" s="87"/>
      <c r="I2167" s="86"/>
      <c r="J2167" s="87"/>
      <c r="K2167" s="86"/>
      <c r="L2167" s="86"/>
      <c r="M2167" s="87"/>
      <c r="N2167" s="86"/>
      <c r="O2167" s="87"/>
    </row>
    <row r="2168" spans="2:15">
      <c r="B2168" s="83"/>
      <c r="C2168" s="84"/>
      <c r="D2168" s="85"/>
      <c r="E2168" s="85"/>
      <c r="F2168" s="86"/>
      <c r="G2168" s="86"/>
      <c r="H2168" s="87"/>
      <c r="I2168" s="86"/>
      <c r="J2168" s="87"/>
      <c r="K2168" s="86"/>
      <c r="L2168" s="86"/>
      <c r="M2168" s="87"/>
      <c r="N2168" s="86"/>
      <c r="O2168" s="87"/>
    </row>
    <row r="2169" spans="2:15">
      <c r="B2169" s="83"/>
      <c r="C2169" s="84"/>
      <c r="D2169" s="85"/>
      <c r="E2169" s="85"/>
      <c r="F2169" s="86"/>
      <c r="G2169" s="86"/>
      <c r="H2169" s="87"/>
      <c r="I2169" s="86"/>
      <c r="J2169" s="87"/>
      <c r="K2169" s="86"/>
      <c r="L2169" s="86"/>
      <c r="M2169" s="87"/>
      <c r="N2169" s="86"/>
      <c r="O2169" s="87"/>
    </row>
    <row r="2170" spans="2:15">
      <c r="B2170" s="83"/>
      <c r="C2170" s="84"/>
      <c r="D2170" s="85"/>
      <c r="E2170" s="85"/>
      <c r="F2170" s="86"/>
      <c r="G2170" s="86"/>
      <c r="H2170" s="87"/>
      <c r="I2170" s="86"/>
      <c r="J2170" s="87"/>
      <c r="K2170" s="86"/>
      <c r="L2170" s="86"/>
      <c r="M2170" s="87"/>
      <c r="N2170" s="86"/>
      <c r="O2170" s="87"/>
    </row>
    <row r="2171" spans="2:15">
      <c r="B2171" s="83"/>
      <c r="C2171" s="84"/>
      <c r="D2171" s="85"/>
      <c r="E2171" s="85"/>
      <c r="F2171" s="86"/>
      <c r="G2171" s="86"/>
      <c r="H2171" s="87"/>
      <c r="I2171" s="86"/>
      <c r="J2171" s="87"/>
      <c r="K2171" s="86"/>
      <c r="L2171" s="86"/>
      <c r="M2171" s="87"/>
      <c r="N2171" s="86"/>
      <c r="O2171" s="87"/>
    </row>
    <row r="2172" spans="2:15">
      <c r="B2172" s="83"/>
      <c r="C2172" s="84"/>
      <c r="D2172" s="85"/>
      <c r="E2172" s="85"/>
      <c r="F2172" s="86"/>
      <c r="G2172" s="86"/>
      <c r="H2172" s="87"/>
      <c r="I2172" s="86"/>
      <c r="J2172" s="87"/>
      <c r="K2172" s="86"/>
      <c r="L2172" s="86"/>
      <c r="M2172" s="87"/>
      <c r="N2172" s="86"/>
      <c r="O2172" s="87"/>
    </row>
    <row r="2173" spans="2:15">
      <c r="B2173" s="83"/>
      <c r="C2173" s="84"/>
      <c r="D2173" s="85"/>
      <c r="E2173" s="85"/>
      <c r="F2173" s="86"/>
      <c r="G2173" s="86"/>
      <c r="H2173" s="87"/>
      <c r="I2173" s="86"/>
      <c r="J2173" s="87"/>
      <c r="K2173" s="86"/>
      <c r="L2173" s="86"/>
      <c r="M2173" s="87"/>
      <c r="N2173" s="86"/>
      <c r="O2173" s="87"/>
    </row>
    <row r="2174" spans="2:15">
      <c r="B2174" s="83"/>
      <c r="C2174" s="84"/>
      <c r="D2174" s="85"/>
      <c r="E2174" s="85"/>
      <c r="F2174" s="86"/>
      <c r="G2174" s="86"/>
      <c r="H2174" s="87"/>
      <c r="I2174" s="86"/>
      <c r="J2174" s="87"/>
      <c r="K2174" s="86"/>
      <c r="L2174" s="86"/>
      <c r="M2174" s="87"/>
      <c r="N2174" s="86"/>
      <c r="O2174" s="87"/>
    </row>
    <row r="2175" spans="2:15">
      <c r="B2175" s="83"/>
      <c r="C2175" s="84"/>
      <c r="D2175" s="85"/>
      <c r="E2175" s="85"/>
      <c r="F2175" s="86"/>
      <c r="G2175" s="86"/>
      <c r="H2175" s="87"/>
      <c r="I2175" s="86"/>
      <c r="J2175" s="87"/>
      <c r="K2175" s="86"/>
      <c r="L2175" s="86"/>
      <c r="M2175" s="87"/>
      <c r="N2175" s="86"/>
      <c r="O2175" s="87"/>
    </row>
    <row r="2176" spans="2:15">
      <c r="B2176" s="83"/>
      <c r="C2176" s="84"/>
      <c r="D2176" s="85"/>
      <c r="E2176" s="85"/>
      <c r="F2176" s="86"/>
      <c r="G2176" s="86"/>
      <c r="H2176" s="87"/>
      <c r="I2176" s="86"/>
      <c r="J2176" s="87"/>
      <c r="K2176" s="86"/>
      <c r="L2176" s="86"/>
      <c r="M2176" s="87"/>
      <c r="N2176" s="86"/>
      <c r="O2176" s="87"/>
    </row>
    <row r="2177" spans="2:15">
      <c r="B2177" s="83"/>
      <c r="C2177" s="84"/>
      <c r="D2177" s="85"/>
      <c r="E2177" s="85"/>
      <c r="F2177" s="86"/>
      <c r="G2177" s="86"/>
      <c r="H2177" s="87"/>
      <c r="I2177" s="86"/>
      <c r="J2177" s="87"/>
      <c r="K2177" s="86"/>
      <c r="L2177" s="86"/>
      <c r="M2177" s="87"/>
      <c r="N2177" s="86"/>
      <c r="O2177" s="87"/>
    </row>
    <row r="2178" spans="2:15">
      <c r="B2178" s="83"/>
      <c r="C2178" s="84"/>
      <c r="D2178" s="85"/>
      <c r="E2178" s="85"/>
      <c r="F2178" s="86"/>
      <c r="G2178" s="86"/>
      <c r="H2178" s="87"/>
      <c r="I2178" s="86"/>
      <c r="J2178" s="87"/>
      <c r="K2178" s="86"/>
      <c r="L2178" s="86"/>
      <c r="M2178" s="87"/>
      <c r="N2178" s="86"/>
      <c r="O2178" s="87"/>
    </row>
    <row r="2179" spans="2:15">
      <c r="B2179" s="83"/>
      <c r="C2179" s="84"/>
      <c r="D2179" s="85"/>
      <c r="E2179" s="85"/>
      <c r="F2179" s="86"/>
      <c r="G2179" s="86"/>
      <c r="H2179" s="87"/>
      <c r="I2179" s="86"/>
      <c r="J2179" s="87"/>
      <c r="K2179" s="86"/>
      <c r="L2179" s="86"/>
      <c r="M2179" s="87"/>
      <c r="N2179" s="86"/>
      <c r="O2179" s="87"/>
    </row>
    <row r="2180" spans="2:15">
      <c r="B2180" s="83"/>
      <c r="C2180" s="84"/>
      <c r="D2180" s="85"/>
      <c r="E2180" s="85"/>
      <c r="F2180" s="86"/>
      <c r="G2180" s="86"/>
      <c r="H2180" s="87"/>
      <c r="I2180" s="86"/>
      <c r="J2180" s="87"/>
      <c r="K2180" s="86"/>
      <c r="L2180" s="86"/>
      <c r="M2180" s="87"/>
      <c r="N2180" s="86"/>
      <c r="O2180" s="87"/>
    </row>
    <row r="2181" spans="2:15">
      <c r="B2181" s="83"/>
      <c r="C2181" s="84"/>
      <c r="D2181" s="85"/>
      <c r="E2181" s="85"/>
      <c r="F2181" s="86"/>
      <c r="G2181" s="86"/>
      <c r="H2181" s="87"/>
      <c r="I2181" s="86"/>
      <c r="J2181" s="87"/>
      <c r="K2181" s="86"/>
      <c r="L2181" s="86"/>
      <c r="M2181" s="87"/>
      <c r="N2181" s="86"/>
      <c r="O2181" s="87"/>
    </row>
    <row r="2182" spans="2:15">
      <c r="B2182" s="83"/>
      <c r="C2182" s="84"/>
      <c r="D2182" s="85"/>
      <c r="E2182" s="85"/>
      <c r="F2182" s="86"/>
      <c r="G2182" s="86"/>
      <c r="H2182" s="87"/>
      <c r="I2182" s="86"/>
      <c r="J2182" s="87"/>
      <c r="K2182" s="86"/>
      <c r="L2182" s="86"/>
      <c r="M2182" s="87"/>
      <c r="N2182" s="86"/>
      <c r="O2182" s="87"/>
    </row>
    <row r="2183" spans="2:15">
      <c r="B2183" s="83"/>
      <c r="C2183" s="84"/>
      <c r="D2183" s="85"/>
      <c r="E2183" s="85"/>
      <c r="F2183" s="86"/>
      <c r="G2183" s="86"/>
      <c r="H2183" s="87"/>
      <c r="I2183" s="86"/>
      <c r="J2183" s="87"/>
      <c r="K2183" s="86"/>
      <c r="L2183" s="86"/>
      <c r="M2183" s="87"/>
      <c r="N2183" s="86"/>
      <c r="O2183" s="87"/>
    </row>
    <row r="2184" spans="2:15">
      <c r="B2184" s="83"/>
      <c r="C2184" s="84"/>
      <c r="D2184" s="85"/>
      <c r="E2184" s="85"/>
      <c r="F2184" s="86"/>
      <c r="G2184" s="86"/>
      <c r="H2184" s="87"/>
      <c r="I2184" s="86"/>
      <c r="J2184" s="87"/>
      <c r="K2184" s="86"/>
      <c r="L2184" s="86"/>
      <c r="M2184" s="87"/>
      <c r="N2184" s="86"/>
      <c r="O2184" s="87"/>
    </row>
    <row r="2185" spans="2:15">
      <c r="B2185" s="83"/>
      <c r="C2185" s="84"/>
      <c r="D2185" s="85"/>
      <c r="E2185" s="85"/>
      <c r="F2185" s="86"/>
      <c r="G2185" s="86"/>
      <c r="H2185" s="87"/>
      <c r="I2185" s="86"/>
      <c r="J2185" s="87"/>
      <c r="K2185" s="86"/>
      <c r="L2185" s="86"/>
      <c r="M2185" s="87"/>
      <c r="N2185" s="86"/>
      <c r="O2185" s="87"/>
    </row>
    <row r="2186" spans="2:15">
      <c r="B2186" s="83"/>
      <c r="C2186" s="84"/>
      <c r="D2186" s="85"/>
      <c r="E2186" s="85"/>
      <c r="F2186" s="86"/>
      <c r="G2186" s="86"/>
      <c r="H2186" s="87"/>
      <c r="I2186" s="86"/>
      <c r="J2186" s="87"/>
      <c r="K2186" s="86"/>
      <c r="L2186" s="86"/>
      <c r="M2186" s="87"/>
      <c r="N2186" s="86"/>
      <c r="O2186" s="87"/>
    </row>
    <row r="2187" spans="2:15">
      <c r="B2187" s="83"/>
      <c r="C2187" s="84"/>
      <c r="D2187" s="85"/>
      <c r="E2187" s="85"/>
      <c r="F2187" s="86"/>
      <c r="G2187" s="86"/>
      <c r="H2187" s="87"/>
      <c r="I2187" s="86"/>
      <c r="J2187" s="87"/>
      <c r="K2187" s="86"/>
      <c r="L2187" s="86"/>
      <c r="M2187" s="87"/>
      <c r="N2187" s="86"/>
      <c r="O2187" s="87"/>
    </row>
    <row r="2188" spans="2:15">
      <c r="B2188" s="83"/>
      <c r="C2188" s="84"/>
      <c r="D2188" s="85"/>
      <c r="E2188" s="85"/>
      <c r="F2188" s="86"/>
      <c r="G2188" s="86"/>
      <c r="H2188" s="87"/>
      <c r="I2188" s="86"/>
      <c r="J2188" s="87"/>
      <c r="K2188" s="86"/>
      <c r="L2188" s="86"/>
      <c r="M2188" s="87"/>
      <c r="N2188" s="86"/>
      <c r="O2188" s="87"/>
    </row>
    <row r="2189" spans="2:15">
      <c r="B2189" s="83"/>
      <c r="C2189" s="84"/>
      <c r="D2189" s="85"/>
      <c r="E2189" s="85"/>
      <c r="F2189" s="86"/>
      <c r="G2189" s="86"/>
      <c r="H2189" s="87"/>
      <c r="I2189" s="86"/>
      <c r="J2189" s="87"/>
      <c r="K2189" s="86"/>
      <c r="L2189" s="86"/>
      <c r="M2189" s="87"/>
      <c r="N2189" s="86"/>
      <c r="O2189" s="87"/>
    </row>
    <row r="2190" spans="2:15">
      <c r="B2190" s="83"/>
      <c r="C2190" s="84"/>
      <c r="D2190" s="85"/>
      <c r="E2190" s="85"/>
      <c r="F2190" s="86"/>
      <c r="G2190" s="86"/>
      <c r="H2190" s="87"/>
      <c r="I2190" s="86"/>
      <c r="J2190" s="87"/>
      <c r="K2190" s="86"/>
      <c r="L2190" s="86"/>
      <c r="M2190" s="87"/>
      <c r="N2190" s="86"/>
      <c r="O2190" s="87"/>
    </row>
    <row r="2191" spans="2:15">
      <c r="B2191" s="83"/>
      <c r="C2191" s="84"/>
      <c r="D2191" s="85"/>
      <c r="E2191" s="85"/>
      <c r="F2191" s="86"/>
      <c r="G2191" s="86"/>
      <c r="H2191" s="87"/>
      <c r="I2191" s="86"/>
      <c r="J2191" s="87"/>
      <c r="K2191" s="86"/>
      <c r="L2191" s="86"/>
      <c r="M2191" s="87"/>
      <c r="N2191" s="86"/>
      <c r="O2191" s="87"/>
    </row>
    <row r="2192" spans="2:15">
      <c r="B2192" s="83"/>
      <c r="C2192" s="84"/>
      <c r="D2192" s="85"/>
      <c r="E2192" s="85"/>
      <c r="F2192" s="86"/>
      <c r="G2192" s="86"/>
      <c r="H2192" s="87"/>
      <c r="I2192" s="86"/>
      <c r="J2192" s="87"/>
      <c r="K2192" s="86"/>
      <c r="L2192" s="86"/>
      <c r="M2192" s="87"/>
      <c r="N2192" s="86"/>
      <c r="O2192" s="87"/>
    </row>
    <row r="2193" spans="2:15">
      <c r="B2193" s="83"/>
      <c r="C2193" s="84"/>
      <c r="D2193" s="85"/>
      <c r="E2193" s="85"/>
      <c r="F2193" s="86"/>
      <c r="G2193" s="86"/>
      <c r="H2193" s="87"/>
      <c r="I2193" s="86"/>
      <c r="J2193" s="87"/>
      <c r="K2193" s="86"/>
      <c r="L2193" s="86"/>
      <c r="M2193" s="87"/>
      <c r="N2193" s="86"/>
      <c r="O2193" s="87"/>
    </row>
    <row r="2194" spans="2:15">
      <c r="B2194" s="83"/>
      <c r="C2194" s="84"/>
      <c r="D2194" s="85"/>
      <c r="E2194" s="85"/>
      <c r="F2194" s="86"/>
      <c r="G2194" s="86"/>
      <c r="H2194" s="87"/>
      <c r="I2194" s="86"/>
      <c r="J2194" s="87"/>
      <c r="K2194" s="86"/>
      <c r="L2194" s="86"/>
      <c r="M2194" s="87"/>
      <c r="N2194" s="86"/>
      <c r="O2194" s="87"/>
    </row>
    <row r="2195" spans="2:15">
      <c r="B2195" s="83"/>
      <c r="C2195" s="84"/>
      <c r="D2195" s="85"/>
      <c r="E2195" s="85"/>
      <c r="F2195" s="86"/>
      <c r="G2195" s="86"/>
      <c r="H2195" s="87"/>
      <c r="I2195" s="86"/>
      <c r="J2195" s="87"/>
      <c r="K2195" s="86"/>
      <c r="L2195" s="86"/>
      <c r="M2195" s="87"/>
      <c r="N2195" s="86"/>
      <c r="O2195" s="87"/>
    </row>
    <row r="2196" spans="2:15">
      <c r="B2196" s="83"/>
      <c r="C2196" s="84"/>
      <c r="D2196" s="85"/>
      <c r="E2196" s="85"/>
      <c r="F2196" s="86"/>
      <c r="G2196" s="86"/>
      <c r="H2196" s="87"/>
      <c r="I2196" s="86"/>
      <c r="J2196" s="87"/>
      <c r="K2196" s="86"/>
      <c r="L2196" s="86"/>
      <c r="M2196" s="87"/>
      <c r="N2196" s="86"/>
      <c r="O2196" s="87"/>
    </row>
    <row r="2197" spans="2:15">
      <c r="B2197" s="83"/>
      <c r="C2197" s="84"/>
      <c r="D2197" s="85"/>
      <c r="E2197" s="85"/>
      <c r="F2197" s="86"/>
      <c r="G2197" s="86"/>
      <c r="H2197" s="87"/>
      <c r="I2197" s="86"/>
      <c r="J2197" s="87"/>
      <c r="K2197" s="86"/>
      <c r="L2197" s="86"/>
      <c r="M2197" s="87"/>
      <c r="N2197" s="86"/>
      <c r="O2197" s="87"/>
    </row>
    <row r="2198" spans="2:15">
      <c r="B2198" s="83"/>
      <c r="C2198" s="84"/>
      <c r="D2198" s="85"/>
      <c r="E2198" s="85"/>
      <c r="F2198" s="86"/>
      <c r="G2198" s="86"/>
      <c r="H2198" s="87"/>
      <c r="I2198" s="86"/>
      <c r="J2198" s="87"/>
      <c r="K2198" s="86"/>
      <c r="L2198" s="86"/>
      <c r="M2198" s="87"/>
      <c r="N2198" s="86"/>
      <c r="O2198" s="87"/>
    </row>
    <row r="2199" spans="2:15">
      <c r="B2199" s="83"/>
      <c r="C2199" s="84"/>
      <c r="D2199" s="85"/>
      <c r="E2199" s="85"/>
      <c r="F2199" s="86"/>
      <c r="G2199" s="86"/>
      <c r="H2199" s="87"/>
      <c r="I2199" s="86"/>
      <c r="J2199" s="87"/>
      <c r="K2199" s="86"/>
      <c r="L2199" s="86"/>
      <c r="M2199" s="87"/>
      <c r="N2199" s="86"/>
      <c r="O2199" s="87"/>
    </row>
    <row r="2200" spans="2:15">
      <c r="B2200" s="83"/>
      <c r="C2200" s="84"/>
      <c r="D2200" s="85"/>
      <c r="E2200" s="85"/>
      <c r="F2200" s="86"/>
      <c r="G2200" s="86"/>
      <c r="H2200" s="87"/>
      <c r="I2200" s="86"/>
      <c r="J2200" s="87"/>
      <c r="K2200" s="86"/>
      <c r="L2200" s="86"/>
      <c r="M2200" s="87"/>
      <c r="N2200" s="86"/>
      <c r="O2200" s="87"/>
    </row>
    <row r="2201" spans="2:15">
      <c r="B2201" s="83"/>
      <c r="C2201" s="84"/>
      <c r="D2201" s="85"/>
      <c r="E2201" s="85"/>
      <c r="F2201" s="86"/>
      <c r="G2201" s="86"/>
      <c r="H2201" s="87"/>
      <c r="I2201" s="86"/>
      <c r="J2201" s="87"/>
      <c r="K2201" s="86"/>
      <c r="L2201" s="86"/>
      <c r="M2201" s="87"/>
      <c r="N2201" s="86"/>
      <c r="O2201" s="87"/>
    </row>
    <row r="2202" spans="2:15">
      <c r="B2202" s="83"/>
      <c r="C2202" s="84"/>
      <c r="D2202" s="85"/>
      <c r="E2202" s="85"/>
      <c r="F2202" s="86"/>
      <c r="G2202" s="86"/>
      <c r="H2202" s="87"/>
      <c r="I2202" s="86"/>
      <c r="J2202" s="87"/>
      <c r="K2202" s="86"/>
      <c r="L2202" s="86"/>
      <c r="M2202" s="87"/>
      <c r="N2202" s="86"/>
      <c r="O2202" s="87"/>
    </row>
    <row r="2203" spans="2:15">
      <c r="B2203" s="83"/>
      <c r="C2203" s="84"/>
      <c r="D2203" s="85"/>
      <c r="E2203" s="85"/>
      <c r="F2203" s="86"/>
      <c r="G2203" s="86"/>
      <c r="H2203" s="87"/>
      <c r="I2203" s="86"/>
      <c r="J2203" s="87"/>
      <c r="K2203" s="86"/>
      <c r="L2203" s="86"/>
      <c r="M2203" s="87"/>
      <c r="N2203" s="86"/>
      <c r="O2203" s="87"/>
    </row>
    <row r="2204" spans="2:15">
      <c r="B2204" s="83"/>
      <c r="C2204" s="84"/>
      <c r="D2204" s="85"/>
      <c r="E2204" s="85"/>
      <c r="F2204" s="86"/>
      <c r="G2204" s="86"/>
      <c r="H2204" s="87"/>
      <c r="I2204" s="86"/>
      <c r="J2204" s="87"/>
      <c r="K2204" s="86"/>
      <c r="L2204" s="86"/>
      <c r="M2204" s="87"/>
      <c r="N2204" s="86"/>
      <c r="O2204" s="87"/>
    </row>
    <row r="2205" spans="2:15">
      <c r="B2205" s="83"/>
      <c r="C2205" s="84"/>
      <c r="D2205" s="85"/>
      <c r="E2205" s="85"/>
      <c r="F2205" s="86"/>
      <c r="G2205" s="86"/>
      <c r="H2205" s="87"/>
      <c r="I2205" s="86"/>
      <c r="J2205" s="87"/>
      <c r="K2205" s="86"/>
      <c r="L2205" s="86"/>
      <c r="M2205" s="87"/>
      <c r="N2205" s="86"/>
      <c r="O2205" s="87"/>
    </row>
    <row r="2206" spans="2:15">
      <c r="B2206" s="83"/>
      <c r="C2206" s="84"/>
      <c r="D2206" s="85"/>
      <c r="E2206" s="85"/>
      <c r="F2206" s="86"/>
      <c r="G2206" s="86"/>
      <c r="H2206" s="87"/>
      <c r="I2206" s="86"/>
      <c r="J2206" s="87"/>
      <c r="K2206" s="86"/>
      <c r="L2206" s="86"/>
      <c r="M2206" s="87"/>
      <c r="N2206" s="86"/>
      <c r="O2206" s="87"/>
    </row>
    <row r="2207" spans="2:15">
      <c r="B2207" s="83"/>
      <c r="C2207" s="84"/>
      <c r="D2207" s="85"/>
      <c r="E2207" s="85"/>
      <c r="F2207" s="86"/>
      <c r="G2207" s="86"/>
      <c r="H2207" s="87"/>
      <c r="I2207" s="86"/>
      <c r="J2207" s="87"/>
      <c r="K2207" s="86"/>
      <c r="L2207" s="86"/>
      <c r="M2207" s="87"/>
      <c r="N2207" s="86"/>
      <c r="O2207" s="87"/>
    </row>
    <row r="2208" spans="2:15">
      <c r="B2208" s="83"/>
      <c r="C2208" s="84"/>
      <c r="D2208" s="85"/>
      <c r="E2208" s="85"/>
      <c r="F2208" s="86"/>
      <c r="G2208" s="86"/>
      <c r="H2208" s="87"/>
      <c r="I2208" s="86"/>
      <c r="J2208" s="87"/>
      <c r="K2208" s="86"/>
      <c r="L2208" s="86"/>
      <c r="M2208" s="87"/>
      <c r="N2208" s="86"/>
      <c r="O2208" s="87"/>
    </row>
    <row r="2209" spans="2:15">
      <c r="B2209" s="83"/>
      <c r="C2209" s="84"/>
      <c r="D2209" s="85"/>
      <c r="E2209" s="85"/>
      <c r="F2209" s="86"/>
      <c r="G2209" s="86"/>
      <c r="H2209" s="87"/>
      <c r="I2209" s="86"/>
      <c r="J2209" s="87"/>
      <c r="K2209" s="86"/>
      <c r="L2209" s="86"/>
      <c r="M2209" s="87"/>
      <c r="N2209" s="86"/>
      <c r="O2209" s="87"/>
    </row>
    <row r="2210" spans="2:15">
      <c r="B2210" s="83"/>
      <c r="C2210" s="84"/>
      <c r="D2210" s="85"/>
      <c r="E2210" s="85"/>
      <c r="F2210" s="86"/>
      <c r="G2210" s="86"/>
      <c r="H2210" s="87"/>
      <c r="I2210" s="86"/>
      <c r="J2210" s="87"/>
      <c r="K2210" s="86"/>
      <c r="L2210" s="86"/>
      <c r="M2210" s="87"/>
      <c r="N2210" s="86"/>
      <c r="O2210" s="87"/>
    </row>
    <row r="2211" spans="2:15">
      <c r="B2211" s="83"/>
      <c r="C2211" s="84"/>
      <c r="D2211" s="85"/>
      <c r="E2211" s="85"/>
      <c r="F2211" s="86"/>
      <c r="G2211" s="86"/>
      <c r="H2211" s="87"/>
      <c r="I2211" s="86"/>
      <c r="J2211" s="87"/>
      <c r="K2211" s="86"/>
      <c r="L2211" s="86"/>
      <c r="M2211" s="87"/>
      <c r="N2211" s="86"/>
      <c r="O2211" s="87"/>
    </row>
    <row r="2212" spans="2:15">
      <c r="B2212" s="83"/>
      <c r="C2212" s="84"/>
      <c r="D2212" s="85"/>
      <c r="E2212" s="85"/>
      <c r="F2212" s="86"/>
      <c r="G2212" s="86"/>
      <c r="H2212" s="87"/>
      <c r="I2212" s="86"/>
      <c r="J2212" s="87"/>
      <c r="K2212" s="86"/>
      <c r="L2212" s="86"/>
      <c r="M2212" s="87"/>
      <c r="N2212" s="86"/>
      <c r="O2212" s="87"/>
    </row>
    <row r="2213" spans="2:15">
      <c r="B2213" s="83"/>
      <c r="C2213" s="84"/>
      <c r="D2213" s="85"/>
      <c r="E2213" s="85"/>
      <c r="F2213" s="86"/>
      <c r="G2213" s="86"/>
      <c r="H2213" s="87"/>
      <c r="I2213" s="86"/>
      <c r="J2213" s="87"/>
      <c r="K2213" s="86"/>
      <c r="L2213" s="86"/>
      <c r="M2213" s="87"/>
      <c r="N2213" s="86"/>
      <c r="O2213" s="87"/>
    </row>
    <row r="2214" spans="2:15">
      <c r="B2214" s="83"/>
      <c r="C2214" s="84"/>
      <c r="D2214" s="85"/>
      <c r="E2214" s="85"/>
      <c r="F2214" s="86"/>
      <c r="G2214" s="86"/>
      <c r="H2214" s="87"/>
      <c r="I2214" s="86"/>
      <c r="J2214" s="87"/>
      <c r="K2214" s="86"/>
      <c r="L2214" s="86"/>
      <c r="M2214" s="87"/>
      <c r="N2214" s="86"/>
      <c r="O2214" s="87"/>
    </row>
    <row r="2215" spans="2:15">
      <c r="B2215" s="83"/>
      <c r="C2215" s="84"/>
      <c r="D2215" s="85"/>
      <c r="E2215" s="85"/>
      <c r="F2215" s="86"/>
      <c r="G2215" s="86"/>
      <c r="H2215" s="87"/>
      <c r="I2215" s="86"/>
      <c r="J2215" s="87"/>
      <c r="K2215" s="86"/>
      <c r="L2215" s="86"/>
      <c r="M2215" s="87"/>
      <c r="N2215" s="86"/>
      <c r="O2215" s="87"/>
    </row>
    <row r="2216" spans="2:15">
      <c r="B2216" s="83"/>
      <c r="C2216" s="84"/>
      <c r="D2216" s="85"/>
      <c r="E2216" s="85"/>
      <c r="F2216" s="86"/>
      <c r="G2216" s="86"/>
      <c r="H2216" s="87"/>
      <c r="I2216" s="86"/>
      <c r="J2216" s="87"/>
      <c r="K2216" s="86"/>
      <c r="L2216" s="86"/>
      <c r="M2216" s="87"/>
      <c r="N2216" s="86"/>
      <c r="O2216" s="87"/>
    </row>
    <row r="2217" spans="2:15">
      <c r="B2217" s="83"/>
      <c r="C2217" s="84"/>
      <c r="D2217" s="85"/>
      <c r="E2217" s="85"/>
      <c r="F2217" s="86"/>
      <c r="G2217" s="86"/>
      <c r="H2217" s="87"/>
      <c r="I2217" s="86"/>
      <c r="J2217" s="87"/>
      <c r="K2217" s="86"/>
      <c r="L2217" s="86"/>
      <c r="M2217" s="87"/>
      <c r="N2217" s="86"/>
      <c r="O2217" s="87"/>
    </row>
    <row r="2218" spans="2:15">
      <c r="B2218" s="83"/>
      <c r="C2218" s="84"/>
      <c r="D2218" s="85"/>
      <c r="E2218" s="85"/>
      <c r="F2218" s="86"/>
      <c r="G2218" s="86"/>
      <c r="H2218" s="87"/>
      <c r="I2218" s="86"/>
      <c r="J2218" s="87"/>
      <c r="K2218" s="86"/>
      <c r="L2218" s="86"/>
      <c r="M2218" s="87"/>
      <c r="N2218" s="86"/>
      <c r="O2218" s="87"/>
    </row>
    <row r="2219" spans="2:15">
      <c r="B2219" s="83"/>
      <c r="C2219" s="84"/>
      <c r="D2219" s="85"/>
      <c r="E2219" s="85"/>
      <c r="F2219" s="86"/>
      <c r="G2219" s="86"/>
      <c r="H2219" s="87"/>
      <c r="I2219" s="86"/>
      <c r="J2219" s="87"/>
      <c r="K2219" s="86"/>
      <c r="L2219" s="86"/>
      <c r="M2219" s="87"/>
      <c r="N2219" s="86"/>
      <c r="O2219" s="87"/>
    </row>
    <row r="2220" spans="2:15">
      <c r="B2220" s="83"/>
      <c r="C2220" s="84"/>
      <c r="D2220" s="85"/>
      <c r="E2220" s="85"/>
      <c r="F2220" s="86"/>
      <c r="G2220" s="86"/>
      <c r="H2220" s="87"/>
      <c r="I2220" s="86"/>
      <c r="J2220" s="87"/>
      <c r="K2220" s="86"/>
      <c r="L2220" s="86"/>
      <c r="M2220" s="87"/>
      <c r="N2220" s="86"/>
      <c r="O2220" s="87"/>
    </row>
    <row r="2221" spans="2:15">
      <c r="B2221" s="83"/>
      <c r="C2221" s="84"/>
      <c r="D2221" s="85"/>
      <c r="E2221" s="85"/>
      <c r="F2221" s="86"/>
      <c r="G2221" s="86"/>
      <c r="H2221" s="87"/>
      <c r="I2221" s="86"/>
      <c r="J2221" s="87"/>
      <c r="K2221" s="86"/>
      <c r="L2221" s="86"/>
      <c r="M2221" s="87"/>
      <c r="N2221" s="86"/>
      <c r="O2221" s="87"/>
    </row>
    <row r="2222" spans="2:15">
      <c r="B2222" s="83"/>
      <c r="C2222" s="84"/>
      <c r="D2222" s="85"/>
      <c r="E2222" s="85"/>
      <c r="F2222" s="86"/>
      <c r="G2222" s="86"/>
      <c r="H2222" s="87"/>
      <c r="I2222" s="86"/>
      <c r="J2222" s="87"/>
      <c r="K2222" s="86"/>
      <c r="L2222" s="86"/>
      <c r="M2222" s="87"/>
      <c r="N2222" s="86"/>
      <c r="O2222" s="87"/>
    </row>
    <row r="2223" spans="2:15">
      <c r="B2223" s="83"/>
      <c r="C2223" s="84"/>
      <c r="D2223" s="85"/>
      <c r="E2223" s="85"/>
      <c r="F2223" s="86"/>
      <c r="G2223" s="86"/>
      <c r="H2223" s="87"/>
      <c r="I2223" s="86"/>
      <c r="J2223" s="87"/>
      <c r="K2223" s="86"/>
      <c r="L2223" s="86"/>
      <c r="M2223" s="87"/>
      <c r="N2223" s="86"/>
      <c r="O2223" s="87"/>
    </row>
    <row r="2224" spans="2:15">
      <c r="B2224" s="83"/>
      <c r="C2224" s="84"/>
      <c r="D2224" s="85"/>
      <c r="E2224" s="85"/>
      <c r="F2224" s="86"/>
      <c r="G2224" s="86"/>
      <c r="H2224" s="87"/>
      <c r="I2224" s="86"/>
      <c r="J2224" s="87"/>
      <c r="K2224" s="86"/>
      <c r="L2224" s="86"/>
      <c r="M2224" s="87"/>
      <c r="N2224" s="86"/>
      <c r="O2224" s="87"/>
    </row>
    <row r="2225" spans="2:15">
      <c r="B2225" s="83"/>
      <c r="C2225" s="84"/>
      <c r="D2225" s="85"/>
      <c r="E2225" s="85"/>
      <c r="F2225" s="86"/>
      <c r="G2225" s="86"/>
      <c r="H2225" s="87"/>
      <c r="I2225" s="86"/>
      <c r="J2225" s="87"/>
      <c r="K2225" s="86"/>
      <c r="L2225" s="86"/>
      <c r="M2225" s="87"/>
      <c r="N2225" s="86"/>
      <c r="O2225" s="87"/>
    </row>
    <row r="2226" spans="2:15">
      <c r="B2226" s="83"/>
      <c r="C2226" s="84"/>
      <c r="D2226" s="85"/>
      <c r="E2226" s="85"/>
      <c r="F2226" s="86"/>
      <c r="G2226" s="86"/>
      <c r="H2226" s="87"/>
      <c r="I2226" s="86"/>
      <c r="J2226" s="87"/>
      <c r="K2226" s="86"/>
      <c r="L2226" s="86"/>
      <c r="M2226" s="87"/>
      <c r="N2226" s="86"/>
      <c r="O2226" s="87"/>
    </row>
    <row r="2227" spans="2:15">
      <c r="B2227" s="83"/>
      <c r="C2227" s="84"/>
      <c r="D2227" s="85"/>
      <c r="E2227" s="85"/>
      <c r="F2227" s="86"/>
      <c r="G2227" s="86"/>
      <c r="H2227" s="87"/>
      <c r="I2227" s="86"/>
      <c r="J2227" s="87"/>
      <c r="K2227" s="86"/>
      <c r="L2227" s="86"/>
      <c r="M2227" s="87"/>
      <c r="N2227" s="86"/>
      <c r="O2227" s="87"/>
    </row>
    <row r="2228" spans="2:15">
      <c r="B2228" s="83"/>
      <c r="C2228" s="84"/>
      <c r="D2228" s="85"/>
      <c r="E2228" s="85"/>
      <c r="F2228" s="86"/>
      <c r="G2228" s="86"/>
      <c r="H2228" s="87"/>
      <c r="I2228" s="86"/>
      <c r="J2228" s="87"/>
      <c r="K2228" s="86"/>
      <c r="L2228" s="86"/>
      <c r="M2228" s="87"/>
      <c r="N2228" s="86"/>
      <c r="O2228" s="87"/>
    </row>
    <row r="2229" spans="2:15">
      <c r="B2229" s="83"/>
      <c r="C2229" s="84"/>
      <c r="D2229" s="85"/>
      <c r="E2229" s="85"/>
      <c r="F2229" s="86"/>
      <c r="G2229" s="86"/>
      <c r="H2229" s="87"/>
      <c r="I2229" s="86"/>
      <c r="J2229" s="87"/>
      <c r="K2229" s="86"/>
      <c r="L2229" s="86"/>
      <c r="M2229" s="87"/>
      <c r="N2229" s="86"/>
      <c r="O2229" s="87"/>
    </row>
    <row r="2230" spans="2:15">
      <c r="B2230" s="83"/>
      <c r="C2230" s="84"/>
      <c r="D2230" s="85"/>
      <c r="E2230" s="85"/>
      <c r="F2230" s="86"/>
      <c r="G2230" s="86"/>
      <c r="H2230" s="87"/>
      <c r="I2230" s="86"/>
      <c r="J2230" s="87"/>
      <c r="K2230" s="86"/>
      <c r="L2230" s="86"/>
      <c r="M2230" s="87"/>
      <c r="N2230" s="86"/>
      <c r="O2230" s="87"/>
    </row>
    <row r="2231" spans="2:15">
      <c r="B2231" s="83"/>
      <c r="C2231" s="84"/>
      <c r="D2231" s="85"/>
      <c r="E2231" s="85"/>
      <c r="F2231" s="86"/>
      <c r="G2231" s="86"/>
      <c r="H2231" s="87"/>
      <c r="I2231" s="86"/>
      <c r="J2231" s="87"/>
      <c r="K2231" s="86"/>
      <c r="L2231" s="86"/>
      <c r="M2231" s="87"/>
      <c r="N2231" s="86"/>
      <c r="O2231" s="87"/>
    </row>
    <row r="2232" spans="2:15">
      <c r="B2232" s="83"/>
      <c r="C2232" s="84"/>
      <c r="D2232" s="85"/>
      <c r="E2232" s="85"/>
      <c r="F2232" s="86"/>
      <c r="G2232" s="86"/>
      <c r="H2232" s="87"/>
      <c r="I2232" s="86"/>
      <c r="J2232" s="87"/>
      <c r="K2232" s="86"/>
      <c r="L2232" s="86"/>
      <c r="M2232" s="87"/>
      <c r="N2232" s="86"/>
      <c r="O2232" s="87"/>
    </row>
    <row r="2233" spans="2:15">
      <c r="B2233" s="83"/>
      <c r="C2233" s="84"/>
      <c r="D2233" s="85"/>
      <c r="E2233" s="85"/>
      <c r="F2233" s="86"/>
      <c r="G2233" s="86"/>
      <c r="H2233" s="87"/>
      <c r="I2233" s="86"/>
      <c r="J2233" s="87"/>
      <c r="K2233" s="86"/>
      <c r="L2233" s="86"/>
      <c r="M2233" s="87"/>
      <c r="N2233" s="86"/>
      <c r="O2233" s="87"/>
    </row>
    <row r="2234" spans="2:15">
      <c r="B2234" s="83"/>
      <c r="C2234" s="84"/>
      <c r="D2234" s="85"/>
      <c r="E2234" s="85"/>
      <c r="F2234" s="86"/>
      <c r="G2234" s="86"/>
      <c r="H2234" s="87"/>
      <c r="I2234" s="86"/>
      <c r="J2234" s="87"/>
      <c r="K2234" s="86"/>
      <c r="L2234" s="86"/>
      <c r="M2234" s="87"/>
      <c r="N2234" s="86"/>
      <c r="O2234" s="87"/>
    </row>
    <row r="2235" spans="2:15">
      <c r="B2235" s="83"/>
      <c r="C2235" s="84"/>
      <c r="D2235" s="85"/>
      <c r="E2235" s="85"/>
      <c r="F2235" s="86"/>
      <c r="G2235" s="86"/>
      <c r="H2235" s="87"/>
      <c r="I2235" s="86"/>
      <c r="J2235" s="87"/>
      <c r="K2235" s="86"/>
      <c r="L2235" s="86"/>
      <c r="M2235" s="87"/>
      <c r="N2235" s="86"/>
      <c r="O2235" s="87"/>
    </row>
    <row r="2236" spans="2:15">
      <c r="B2236" s="83"/>
      <c r="C2236" s="84"/>
      <c r="D2236" s="85"/>
      <c r="E2236" s="85"/>
      <c r="F2236" s="86"/>
      <c r="G2236" s="86"/>
      <c r="H2236" s="87"/>
      <c r="I2236" s="86"/>
      <c r="J2236" s="87"/>
      <c r="K2236" s="86"/>
      <c r="L2236" s="86"/>
      <c r="M2236" s="87"/>
      <c r="N2236" s="86"/>
      <c r="O2236" s="87"/>
    </row>
    <row r="2237" spans="2:15">
      <c r="B2237" s="83"/>
      <c r="C2237" s="84"/>
      <c r="D2237" s="85"/>
      <c r="E2237" s="85"/>
      <c r="F2237" s="86"/>
      <c r="G2237" s="86"/>
      <c r="H2237" s="87"/>
      <c r="I2237" s="86"/>
      <c r="J2237" s="87"/>
      <c r="K2237" s="86"/>
      <c r="L2237" s="86"/>
      <c r="M2237" s="87"/>
      <c r="N2237" s="86"/>
      <c r="O2237" s="87"/>
    </row>
    <row r="2238" spans="2:15">
      <c r="B2238" s="83"/>
      <c r="C2238" s="84"/>
      <c r="D2238" s="85"/>
      <c r="E2238" s="85"/>
      <c r="F2238" s="86"/>
      <c r="G2238" s="86"/>
      <c r="H2238" s="87"/>
      <c r="I2238" s="86"/>
      <c r="J2238" s="87"/>
      <c r="K2238" s="86"/>
      <c r="L2238" s="86"/>
      <c r="M2238" s="87"/>
      <c r="N2238" s="86"/>
      <c r="O2238" s="87"/>
    </row>
    <row r="2239" spans="2:15">
      <c r="B2239" s="83"/>
      <c r="C2239" s="84"/>
      <c r="D2239" s="85"/>
      <c r="E2239" s="85"/>
      <c r="F2239" s="86"/>
      <c r="G2239" s="86"/>
      <c r="H2239" s="87"/>
      <c r="I2239" s="86"/>
      <c r="J2239" s="87"/>
      <c r="K2239" s="86"/>
      <c r="L2239" s="86"/>
      <c r="M2239" s="87"/>
      <c r="N2239" s="86"/>
      <c r="O2239" s="87"/>
    </row>
    <row r="2240" spans="2:15">
      <c r="B2240" s="83"/>
      <c r="C2240" s="84"/>
      <c r="D2240" s="85"/>
      <c r="E2240" s="85"/>
      <c r="F2240" s="86"/>
      <c r="G2240" s="86"/>
      <c r="H2240" s="87"/>
      <c r="I2240" s="86"/>
      <c r="J2240" s="87"/>
      <c r="K2240" s="86"/>
      <c r="L2240" s="86"/>
      <c r="M2240" s="87"/>
      <c r="N2240" s="86"/>
      <c r="O2240" s="87"/>
    </row>
    <row r="2241" spans="2:15">
      <c r="B2241" s="83"/>
      <c r="C2241" s="84"/>
      <c r="D2241" s="85"/>
      <c r="E2241" s="85"/>
      <c r="F2241" s="86"/>
      <c r="G2241" s="86"/>
      <c r="H2241" s="87"/>
      <c r="I2241" s="86"/>
      <c r="J2241" s="87"/>
      <c r="K2241" s="86"/>
      <c r="L2241" s="86"/>
      <c r="M2241" s="87"/>
      <c r="N2241" s="86"/>
      <c r="O2241" s="87"/>
    </row>
    <row r="2242" spans="2:15">
      <c r="B2242" s="83"/>
      <c r="C2242" s="84"/>
      <c r="D2242" s="85"/>
      <c r="E2242" s="85"/>
      <c r="F2242" s="86"/>
      <c r="G2242" s="86"/>
      <c r="H2242" s="87"/>
      <c r="I2242" s="86"/>
      <c r="J2242" s="87"/>
      <c r="K2242" s="86"/>
      <c r="L2242" s="86"/>
      <c r="M2242" s="87"/>
      <c r="N2242" s="86"/>
      <c r="O2242" s="87"/>
    </row>
    <row r="2243" spans="2:15">
      <c r="B2243" s="83"/>
      <c r="C2243" s="84"/>
      <c r="D2243" s="85"/>
      <c r="E2243" s="85"/>
      <c r="F2243" s="86"/>
      <c r="G2243" s="86"/>
      <c r="H2243" s="87"/>
      <c r="I2243" s="86"/>
      <c r="J2243" s="87"/>
      <c r="K2243" s="86"/>
      <c r="L2243" s="86"/>
      <c r="M2243" s="87"/>
      <c r="N2243" s="86"/>
      <c r="O2243" s="87"/>
    </row>
    <row r="2244" spans="2:15">
      <c r="B2244" s="83"/>
      <c r="C2244" s="84"/>
      <c r="D2244" s="85"/>
      <c r="E2244" s="85"/>
      <c r="F2244" s="86"/>
      <c r="G2244" s="86"/>
      <c r="H2244" s="87"/>
      <c r="I2244" s="86"/>
      <c r="J2244" s="87"/>
      <c r="K2244" s="86"/>
      <c r="L2244" s="86"/>
      <c r="M2244" s="87"/>
      <c r="N2244" s="86"/>
      <c r="O2244" s="87"/>
    </row>
    <row r="2245" spans="2:15">
      <c r="B2245" s="83"/>
      <c r="C2245" s="84"/>
      <c r="D2245" s="85"/>
      <c r="E2245" s="85"/>
      <c r="F2245" s="86"/>
      <c r="G2245" s="86"/>
      <c r="H2245" s="87"/>
      <c r="I2245" s="86"/>
      <c r="J2245" s="87"/>
      <c r="K2245" s="86"/>
      <c r="L2245" s="86"/>
      <c r="M2245" s="87"/>
      <c r="N2245" s="86"/>
      <c r="O2245" s="87"/>
    </row>
    <row r="2246" spans="2:15">
      <c r="B2246" s="83"/>
      <c r="C2246" s="84"/>
      <c r="D2246" s="85"/>
      <c r="E2246" s="85"/>
      <c r="F2246" s="86"/>
      <c r="G2246" s="86"/>
      <c r="H2246" s="87"/>
      <c r="I2246" s="86"/>
      <c r="J2246" s="87"/>
      <c r="K2246" s="86"/>
      <c r="L2246" s="86"/>
      <c r="M2246" s="87"/>
      <c r="N2246" s="86"/>
      <c r="O2246" s="87"/>
    </row>
    <row r="2247" spans="2:15">
      <c r="B2247" s="83"/>
      <c r="C2247" s="84"/>
      <c r="D2247" s="85"/>
      <c r="E2247" s="85"/>
      <c r="F2247" s="86"/>
      <c r="G2247" s="86"/>
      <c r="H2247" s="87"/>
      <c r="I2247" s="86"/>
      <c r="J2247" s="87"/>
      <c r="K2247" s="86"/>
      <c r="L2247" s="86"/>
      <c r="M2247" s="87"/>
      <c r="N2247" s="86"/>
      <c r="O2247" s="87"/>
    </row>
    <row r="2248" spans="2:15">
      <c r="B2248" s="83"/>
      <c r="C2248" s="84"/>
      <c r="D2248" s="85"/>
      <c r="E2248" s="85"/>
      <c r="F2248" s="86"/>
      <c r="G2248" s="86"/>
      <c r="H2248" s="87"/>
      <c r="I2248" s="86"/>
      <c r="J2248" s="87"/>
      <c r="K2248" s="86"/>
      <c r="L2248" s="86"/>
      <c r="M2248" s="87"/>
      <c r="N2248" s="86"/>
      <c r="O2248" s="87"/>
    </row>
    <row r="2249" spans="2:15">
      <c r="B2249" s="83"/>
      <c r="C2249" s="84"/>
      <c r="D2249" s="85"/>
      <c r="E2249" s="85"/>
      <c r="F2249" s="86"/>
      <c r="G2249" s="86"/>
      <c r="H2249" s="87"/>
      <c r="I2249" s="86"/>
      <c r="J2249" s="87"/>
      <c r="K2249" s="86"/>
      <c r="L2249" s="86"/>
      <c r="M2249" s="87"/>
      <c r="N2249" s="86"/>
      <c r="O2249" s="87"/>
    </row>
    <row r="2250" spans="2:15">
      <c r="B2250" s="83"/>
      <c r="C2250" s="84"/>
      <c r="D2250" s="85"/>
      <c r="E2250" s="85"/>
      <c r="F2250" s="86"/>
      <c r="G2250" s="86"/>
      <c r="H2250" s="87"/>
      <c r="I2250" s="86"/>
      <c r="J2250" s="87"/>
      <c r="K2250" s="86"/>
      <c r="L2250" s="86"/>
      <c r="M2250" s="87"/>
      <c r="N2250" s="86"/>
      <c r="O2250" s="87"/>
    </row>
    <row r="2251" spans="2:15">
      <c r="B2251" s="83"/>
      <c r="C2251" s="84"/>
      <c r="D2251" s="85"/>
      <c r="E2251" s="85"/>
      <c r="F2251" s="86"/>
      <c r="G2251" s="86"/>
      <c r="H2251" s="87"/>
      <c r="I2251" s="86"/>
      <c r="J2251" s="87"/>
      <c r="K2251" s="86"/>
      <c r="L2251" s="86"/>
      <c r="M2251" s="87"/>
      <c r="N2251" s="86"/>
      <c r="O2251" s="87"/>
    </row>
    <row r="2252" spans="2:15">
      <c r="B2252" s="83"/>
      <c r="C2252" s="84"/>
      <c r="D2252" s="85"/>
      <c r="E2252" s="85"/>
      <c r="F2252" s="86"/>
      <c r="G2252" s="86"/>
      <c r="H2252" s="87"/>
      <c r="I2252" s="86"/>
      <c r="J2252" s="87"/>
      <c r="K2252" s="86"/>
      <c r="L2252" s="86"/>
      <c r="M2252" s="87"/>
      <c r="N2252" s="86"/>
      <c r="O2252" s="87"/>
    </row>
    <row r="2253" spans="2:15">
      <c r="B2253" s="83"/>
      <c r="C2253" s="84"/>
      <c r="D2253" s="85"/>
      <c r="E2253" s="85"/>
      <c r="F2253" s="86"/>
      <c r="G2253" s="86"/>
      <c r="H2253" s="87"/>
      <c r="I2253" s="86"/>
      <c r="J2253" s="87"/>
      <c r="K2253" s="86"/>
      <c r="L2253" s="86"/>
      <c r="M2253" s="87"/>
      <c r="N2253" s="86"/>
      <c r="O2253" s="87"/>
    </row>
    <row r="2254" spans="2:15">
      <c r="B2254" s="83"/>
      <c r="C2254" s="84"/>
      <c r="D2254" s="85"/>
      <c r="E2254" s="85"/>
      <c r="F2254" s="86"/>
      <c r="G2254" s="86"/>
      <c r="H2254" s="87"/>
      <c r="I2254" s="86"/>
      <c r="J2254" s="87"/>
      <c r="K2254" s="86"/>
      <c r="L2254" s="86"/>
      <c r="M2254" s="87"/>
      <c r="N2254" s="86"/>
      <c r="O2254" s="87"/>
    </row>
    <row r="2255" spans="2:15">
      <c r="B2255" s="83"/>
      <c r="C2255" s="84"/>
      <c r="D2255" s="85"/>
      <c r="E2255" s="85"/>
      <c r="F2255" s="86"/>
      <c r="G2255" s="86"/>
      <c r="H2255" s="87"/>
      <c r="I2255" s="86"/>
      <c r="J2255" s="87"/>
      <c r="K2255" s="86"/>
      <c r="L2255" s="86"/>
      <c r="M2255" s="87"/>
      <c r="N2255" s="86"/>
      <c r="O2255" s="87"/>
    </row>
    <row r="2256" spans="2:15">
      <c r="B2256" s="83"/>
      <c r="C2256" s="84"/>
      <c r="D2256" s="85"/>
      <c r="E2256" s="85"/>
      <c r="F2256" s="86"/>
      <c r="G2256" s="86"/>
      <c r="H2256" s="87"/>
      <c r="I2256" s="86"/>
      <c r="J2256" s="87"/>
      <c r="K2256" s="86"/>
      <c r="L2256" s="86"/>
      <c r="M2256" s="87"/>
      <c r="N2256" s="86"/>
      <c r="O2256" s="87"/>
    </row>
    <row r="2257" spans="2:15">
      <c r="B2257" s="83"/>
      <c r="C2257" s="84"/>
      <c r="D2257" s="85"/>
      <c r="E2257" s="85"/>
      <c r="F2257" s="86"/>
      <c r="G2257" s="86"/>
      <c r="H2257" s="87"/>
      <c r="I2257" s="86"/>
      <c r="J2257" s="87"/>
      <c r="K2257" s="86"/>
      <c r="L2257" s="86"/>
      <c r="M2257" s="87"/>
      <c r="N2257" s="86"/>
      <c r="O2257" s="87"/>
    </row>
    <row r="2258" spans="2:15">
      <c r="B2258" s="83"/>
      <c r="C2258" s="84"/>
      <c r="D2258" s="85"/>
      <c r="E2258" s="85"/>
      <c r="F2258" s="86"/>
      <c r="G2258" s="86"/>
      <c r="H2258" s="87"/>
      <c r="I2258" s="86"/>
      <c r="J2258" s="87"/>
      <c r="K2258" s="86"/>
      <c r="L2258" s="86"/>
      <c r="M2258" s="87"/>
      <c r="N2258" s="86"/>
      <c r="O2258" s="87"/>
    </row>
    <row r="2259" spans="2:15">
      <c r="B2259" s="83"/>
      <c r="C2259" s="84"/>
      <c r="D2259" s="85"/>
      <c r="E2259" s="85"/>
      <c r="F2259" s="86"/>
      <c r="G2259" s="86"/>
      <c r="H2259" s="87"/>
      <c r="I2259" s="86"/>
      <c r="J2259" s="87"/>
      <c r="K2259" s="86"/>
      <c r="L2259" s="86"/>
      <c r="M2259" s="87"/>
      <c r="N2259" s="86"/>
      <c r="O2259" s="87"/>
    </row>
    <row r="2260" spans="2:15">
      <c r="B2260" s="83"/>
      <c r="C2260" s="84"/>
      <c r="D2260" s="85"/>
      <c r="E2260" s="85"/>
      <c r="F2260" s="86"/>
      <c r="G2260" s="86"/>
      <c r="H2260" s="87"/>
      <c r="I2260" s="86"/>
      <c r="J2260" s="87"/>
      <c r="K2260" s="86"/>
      <c r="L2260" s="86"/>
      <c r="M2260" s="87"/>
      <c r="N2260" s="86"/>
      <c r="O2260" s="87"/>
    </row>
    <row r="2261" spans="2:15">
      <c r="B2261" s="83"/>
      <c r="C2261" s="84"/>
      <c r="D2261" s="85"/>
      <c r="E2261" s="85"/>
      <c r="F2261" s="86"/>
      <c r="G2261" s="86"/>
      <c r="H2261" s="87"/>
      <c r="I2261" s="86"/>
      <c r="J2261" s="87"/>
      <c r="K2261" s="86"/>
      <c r="L2261" s="86"/>
      <c r="M2261" s="87"/>
      <c r="N2261" s="86"/>
      <c r="O2261" s="87"/>
    </row>
    <row r="2262" spans="2:15">
      <c r="B2262" s="83"/>
      <c r="C2262" s="84"/>
      <c r="D2262" s="85"/>
      <c r="E2262" s="85"/>
      <c r="F2262" s="86"/>
      <c r="G2262" s="86"/>
      <c r="H2262" s="87"/>
      <c r="I2262" s="86"/>
      <c r="J2262" s="87"/>
      <c r="K2262" s="86"/>
      <c r="L2262" s="86"/>
      <c r="M2262" s="87"/>
      <c r="N2262" s="86"/>
      <c r="O2262" s="87"/>
    </row>
    <row r="2263" spans="2:15">
      <c r="B2263" s="83"/>
      <c r="C2263" s="84"/>
      <c r="D2263" s="85"/>
      <c r="E2263" s="85"/>
      <c r="F2263" s="86"/>
      <c r="G2263" s="86"/>
      <c r="H2263" s="87"/>
      <c r="I2263" s="86"/>
      <c r="J2263" s="87"/>
      <c r="K2263" s="86"/>
      <c r="L2263" s="86"/>
      <c r="M2263" s="87"/>
      <c r="N2263" s="86"/>
      <c r="O2263" s="87"/>
    </row>
    <row r="2264" spans="2:15">
      <c r="B2264" s="83"/>
      <c r="C2264" s="84"/>
      <c r="D2264" s="85"/>
      <c r="E2264" s="85"/>
      <c r="F2264" s="86"/>
      <c r="G2264" s="86"/>
      <c r="H2264" s="87"/>
      <c r="I2264" s="86"/>
      <c r="J2264" s="87"/>
      <c r="K2264" s="86"/>
      <c r="L2264" s="86"/>
      <c r="M2264" s="87"/>
      <c r="N2264" s="86"/>
      <c r="O2264" s="87"/>
    </row>
    <row r="2265" spans="2:15">
      <c r="B2265" s="83"/>
      <c r="C2265" s="84"/>
      <c r="D2265" s="85"/>
      <c r="E2265" s="85"/>
      <c r="F2265" s="86"/>
      <c r="G2265" s="86"/>
      <c r="H2265" s="87"/>
      <c r="I2265" s="86"/>
      <c r="J2265" s="87"/>
      <c r="K2265" s="86"/>
      <c r="L2265" s="86"/>
      <c r="M2265" s="87"/>
      <c r="N2265" s="86"/>
      <c r="O2265" s="87"/>
    </row>
    <row r="2266" spans="2:15">
      <c r="B2266" s="83"/>
      <c r="C2266" s="84"/>
      <c r="D2266" s="85"/>
      <c r="E2266" s="85"/>
      <c r="F2266" s="86"/>
      <c r="G2266" s="86"/>
      <c r="H2266" s="87"/>
      <c r="I2266" s="86"/>
      <c r="J2266" s="87"/>
      <c r="K2266" s="86"/>
      <c r="L2266" s="86"/>
      <c r="M2266" s="87"/>
      <c r="N2266" s="86"/>
      <c r="O2266" s="87"/>
    </row>
    <row r="2267" spans="2:15">
      <c r="B2267" s="83"/>
      <c r="C2267" s="84"/>
      <c r="D2267" s="85"/>
      <c r="E2267" s="85"/>
      <c r="F2267" s="86"/>
      <c r="G2267" s="86"/>
      <c r="H2267" s="87"/>
      <c r="I2267" s="86"/>
      <c r="J2267" s="87"/>
      <c r="K2267" s="86"/>
      <c r="L2267" s="86"/>
      <c r="M2267" s="87"/>
      <c r="N2267" s="86"/>
      <c r="O2267" s="87"/>
    </row>
    <row r="2268" spans="2:15">
      <c r="B2268" s="83"/>
      <c r="C2268" s="84"/>
      <c r="D2268" s="85"/>
      <c r="E2268" s="85"/>
      <c r="F2268" s="86"/>
      <c r="G2268" s="86"/>
      <c r="H2268" s="87"/>
      <c r="I2268" s="86"/>
      <c r="J2268" s="87"/>
      <c r="K2268" s="86"/>
      <c r="L2268" s="86"/>
      <c r="M2268" s="87"/>
      <c r="N2268" s="86"/>
      <c r="O2268" s="87"/>
    </row>
    <row r="2269" spans="2:15">
      <c r="B2269" s="83"/>
      <c r="C2269" s="84"/>
      <c r="D2269" s="85"/>
      <c r="E2269" s="85"/>
      <c r="F2269" s="86"/>
      <c r="G2269" s="86"/>
      <c r="H2269" s="87"/>
      <c r="I2269" s="86"/>
      <c r="J2269" s="87"/>
      <c r="K2269" s="86"/>
      <c r="L2269" s="86"/>
      <c r="M2269" s="87"/>
      <c r="N2269" s="86"/>
      <c r="O2269" s="87"/>
    </row>
    <row r="2270" spans="2:15">
      <c r="B2270" s="83"/>
      <c r="C2270" s="84"/>
      <c r="D2270" s="85"/>
      <c r="E2270" s="85"/>
      <c r="F2270" s="86"/>
      <c r="G2270" s="86"/>
      <c r="H2270" s="87"/>
      <c r="I2270" s="86"/>
      <c r="J2270" s="87"/>
      <c r="K2270" s="86"/>
      <c r="L2270" s="86"/>
      <c r="M2270" s="87"/>
      <c r="N2270" s="86"/>
      <c r="O2270" s="87"/>
    </row>
    <row r="2271" spans="2:15">
      <c r="B2271" s="83"/>
      <c r="C2271" s="84"/>
      <c r="D2271" s="85"/>
      <c r="E2271" s="85"/>
      <c r="F2271" s="86"/>
      <c r="G2271" s="86"/>
      <c r="H2271" s="87"/>
      <c r="I2271" s="86"/>
      <c r="J2271" s="87"/>
      <c r="K2271" s="86"/>
      <c r="L2271" s="86"/>
      <c r="M2271" s="87"/>
      <c r="N2271" s="86"/>
      <c r="O2271" s="87"/>
    </row>
    <row r="2272" spans="2:15">
      <c r="B2272" s="83"/>
      <c r="C2272" s="84"/>
      <c r="D2272" s="85"/>
      <c r="E2272" s="85"/>
      <c r="F2272" s="86"/>
      <c r="G2272" s="86"/>
      <c r="H2272" s="87"/>
      <c r="I2272" s="86"/>
      <c r="J2272" s="87"/>
      <c r="K2272" s="86"/>
      <c r="L2272" s="86"/>
      <c r="M2272" s="87"/>
      <c r="N2272" s="86"/>
      <c r="O2272" s="87"/>
    </row>
    <row r="2273" spans="2:15">
      <c r="B2273" s="83"/>
      <c r="C2273" s="84"/>
      <c r="D2273" s="85"/>
      <c r="E2273" s="85"/>
      <c r="F2273" s="86"/>
      <c r="G2273" s="86"/>
      <c r="H2273" s="87"/>
      <c r="I2273" s="86"/>
      <c r="J2273" s="87"/>
      <c r="K2273" s="86"/>
      <c r="L2273" s="86"/>
      <c r="M2273" s="87"/>
      <c r="N2273" s="86"/>
      <c r="O2273" s="87"/>
    </row>
    <row r="2274" spans="2:15">
      <c r="B2274" s="83"/>
      <c r="C2274" s="84"/>
      <c r="D2274" s="85"/>
      <c r="E2274" s="85"/>
      <c r="F2274" s="86"/>
      <c r="G2274" s="86"/>
      <c r="H2274" s="87"/>
      <c r="I2274" s="86"/>
      <c r="J2274" s="87"/>
      <c r="K2274" s="86"/>
      <c r="L2274" s="86"/>
      <c r="M2274" s="87"/>
      <c r="N2274" s="86"/>
      <c r="O2274" s="87"/>
    </row>
    <row r="2275" spans="2:15">
      <c r="B2275" s="83"/>
      <c r="C2275" s="84"/>
      <c r="D2275" s="85"/>
      <c r="E2275" s="85"/>
      <c r="F2275" s="86"/>
      <c r="G2275" s="86"/>
      <c r="H2275" s="87"/>
      <c r="I2275" s="86"/>
      <c r="J2275" s="87"/>
      <c r="K2275" s="86"/>
      <c r="L2275" s="86"/>
      <c r="M2275" s="87"/>
      <c r="N2275" s="86"/>
      <c r="O2275" s="87"/>
    </row>
    <row r="2276" spans="2:15">
      <c r="B2276" s="83"/>
      <c r="C2276" s="84"/>
      <c r="D2276" s="85"/>
      <c r="E2276" s="85"/>
      <c r="F2276" s="86"/>
      <c r="G2276" s="86"/>
      <c r="H2276" s="87"/>
      <c r="I2276" s="86"/>
      <c r="J2276" s="87"/>
      <c r="K2276" s="86"/>
      <c r="L2276" s="86"/>
      <c r="M2276" s="87"/>
      <c r="N2276" s="86"/>
      <c r="O2276" s="87"/>
    </row>
    <row r="2277" spans="2:15">
      <c r="B2277" s="83"/>
      <c r="C2277" s="84"/>
      <c r="D2277" s="85"/>
      <c r="E2277" s="85"/>
      <c r="F2277" s="86"/>
      <c r="G2277" s="86"/>
      <c r="H2277" s="87"/>
      <c r="I2277" s="86"/>
      <c r="J2277" s="87"/>
      <c r="K2277" s="86"/>
      <c r="L2277" s="86"/>
      <c r="M2277" s="87"/>
      <c r="N2277" s="86"/>
      <c r="O2277" s="87"/>
    </row>
    <row r="2278" spans="2:15">
      <c r="B2278" s="83"/>
      <c r="C2278" s="84"/>
      <c r="D2278" s="85"/>
      <c r="E2278" s="85"/>
      <c r="F2278" s="86"/>
      <c r="G2278" s="86"/>
      <c r="H2278" s="87"/>
      <c r="I2278" s="86"/>
      <c r="J2278" s="87"/>
      <c r="K2278" s="86"/>
      <c r="L2278" s="86"/>
      <c r="M2278" s="87"/>
      <c r="N2278" s="86"/>
      <c r="O2278" s="87"/>
    </row>
    <row r="2279" spans="2:15">
      <c r="B2279" s="83"/>
      <c r="C2279" s="84"/>
      <c r="D2279" s="85"/>
      <c r="E2279" s="85"/>
      <c r="F2279" s="86"/>
      <c r="G2279" s="86"/>
      <c r="H2279" s="87"/>
      <c r="I2279" s="86"/>
      <c r="J2279" s="87"/>
      <c r="K2279" s="86"/>
      <c r="L2279" s="86"/>
      <c r="M2279" s="87"/>
      <c r="N2279" s="86"/>
      <c r="O2279" s="87"/>
    </row>
    <row r="2280" spans="2:15">
      <c r="B2280" s="83"/>
      <c r="C2280" s="84"/>
      <c r="D2280" s="85"/>
      <c r="E2280" s="85"/>
      <c r="F2280" s="86"/>
      <c r="G2280" s="86"/>
      <c r="H2280" s="87"/>
      <c r="I2280" s="86"/>
      <c r="J2280" s="87"/>
      <c r="K2280" s="86"/>
      <c r="L2280" s="86"/>
      <c r="M2280" s="87"/>
      <c r="N2280" s="86"/>
      <c r="O2280" s="87"/>
    </row>
    <row r="2281" spans="2:15">
      <c r="B2281" s="83"/>
      <c r="C2281" s="84"/>
      <c r="D2281" s="85"/>
      <c r="E2281" s="85"/>
      <c r="F2281" s="86"/>
      <c r="G2281" s="86"/>
      <c r="H2281" s="87"/>
      <c r="I2281" s="86"/>
      <c r="J2281" s="87"/>
      <c r="K2281" s="86"/>
      <c r="L2281" s="86"/>
      <c r="M2281" s="87"/>
      <c r="N2281" s="86"/>
      <c r="O2281" s="87"/>
    </row>
    <row r="2282" spans="2:15">
      <c r="B2282" s="83"/>
      <c r="C2282" s="84"/>
      <c r="D2282" s="85"/>
      <c r="E2282" s="85"/>
      <c r="F2282" s="86"/>
      <c r="G2282" s="86"/>
      <c r="H2282" s="87"/>
      <c r="I2282" s="86"/>
      <c r="J2282" s="87"/>
      <c r="K2282" s="86"/>
      <c r="L2282" s="86"/>
      <c r="M2282" s="87"/>
      <c r="N2282" s="86"/>
      <c r="O2282" s="87"/>
    </row>
    <row r="2283" spans="2:15">
      <c r="B2283" s="83"/>
      <c r="C2283" s="84"/>
      <c r="D2283" s="85"/>
      <c r="E2283" s="85"/>
      <c r="F2283" s="86"/>
      <c r="G2283" s="86"/>
      <c r="H2283" s="87"/>
      <c r="I2283" s="86"/>
      <c r="J2283" s="87"/>
      <c r="K2283" s="86"/>
      <c r="L2283" s="86"/>
      <c r="M2283" s="87"/>
      <c r="N2283" s="86"/>
      <c r="O2283" s="87"/>
    </row>
    <row r="2284" spans="2:15">
      <c r="B2284" s="83"/>
      <c r="C2284" s="84"/>
      <c r="D2284" s="85"/>
      <c r="E2284" s="85"/>
      <c r="F2284" s="86"/>
      <c r="G2284" s="86"/>
      <c r="H2284" s="87"/>
      <c r="I2284" s="86"/>
      <c r="J2284" s="87"/>
      <c r="K2284" s="86"/>
      <c r="L2284" s="86"/>
      <c r="M2284" s="87"/>
      <c r="N2284" s="86"/>
      <c r="O2284" s="87"/>
    </row>
    <row r="2285" spans="2:15">
      <c r="B2285" s="83"/>
      <c r="C2285" s="84"/>
      <c r="D2285" s="85"/>
      <c r="E2285" s="85"/>
      <c r="F2285" s="86"/>
      <c r="G2285" s="86"/>
      <c r="H2285" s="87"/>
      <c r="I2285" s="86"/>
      <c r="J2285" s="87"/>
      <c r="K2285" s="86"/>
      <c r="L2285" s="86"/>
      <c r="M2285" s="87"/>
      <c r="N2285" s="86"/>
      <c r="O2285" s="87"/>
    </row>
    <row r="2286" spans="2:15">
      <c r="B2286" s="83"/>
      <c r="C2286" s="84"/>
      <c r="D2286" s="85"/>
      <c r="E2286" s="85"/>
      <c r="F2286" s="86"/>
      <c r="G2286" s="86"/>
      <c r="H2286" s="87"/>
      <c r="I2286" s="86"/>
      <c r="J2286" s="87"/>
      <c r="K2286" s="86"/>
      <c r="L2286" s="86"/>
      <c r="M2286" s="87"/>
      <c r="N2286" s="86"/>
      <c r="O2286" s="87"/>
    </row>
    <row r="2287" spans="2:15">
      <c r="B2287" s="83"/>
      <c r="C2287" s="84"/>
      <c r="D2287" s="85"/>
      <c r="E2287" s="85"/>
      <c r="F2287" s="86"/>
      <c r="G2287" s="86"/>
      <c r="H2287" s="87"/>
      <c r="I2287" s="86"/>
      <c r="J2287" s="87"/>
      <c r="K2287" s="86"/>
      <c r="L2287" s="86"/>
      <c r="M2287" s="87"/>
      <c r="N2287" s="86"/>
      <c r="O2287" s="87"/>
    </row>
    <row r="2288" spans="2:15">
      <c r="B2288" s="83"/>
      <c r="C2288" s="84"/>
      <c r="D2288" s="85"/>
      <c r="E2288" s="85"/>
      <c r="F2288" s="86"/>
      <c r="G2288" s="86"/>
      <c r="H2288" s="87"/>
      <c r="I2288" s="86"/>
      <c r="J2288" s="87"/>
      <c r="K2288" s="86"/>
      <c r="L2288" s="86"/>
      <c r="M2288" s="87"/>
      <c r="N2288" s="86"/>
      <c r="O2288" s="87"/>
    </row>
    <row r="2289" spans="2:15">
      <c r="B2289" s="83"/>
      <c r="C2289" s="84"/>
      <c r="D2289" s="85"/>
      <c r="E2289" s="85"/>
      <c r="F2289" s="86"/>
      <c r="G2289" s="86"/>
      <c r="H2289" s="87"/>
      <c r="I2289" s="86"/>
      <c r="J2289" s="87"/>
      <c r="K2289" s="86"/>
      <c r="L2289" s="86"/>
      <c r="M2289" s="87"/>
      <c r="N2289" s="86"/>
      <c r="O2289" s="87"/>
    </row>
    <row r="2290" spans="2:15">
      <c r="B2290" s="83"/>
      <c r="C2290" s="84"/>
      <c r="D2290" s="85"/>
      <c r="E2290" s="85"/>
      <c r="F2290" s="86"/>
      <c r="G2290" s="86"/>
      <c r="H2290" s="87"/>
      <c r="I2290" s="86"/>
      <c r="J2290" s="87"/>
      <c r="K2290" s="86"/>
      <c r="L2290" s="86"/>
      <c r="M2290" s="87"/>
      <c r="N2290" s="86"/>
      <c r="O2290" s="87"/>
    </row>
    <row r="2291" spans="2:15">
      <c r="B2291" s="83"/>
      <c r="C2291" s="84"/>
      <c r="D2291" s="85"/>
      <c r="E2291" s="85"/>
      <c r="F2291" s="86"/>
      <c r="G2291" s="86"/>
      <c r="H2291" s="87"/>
      <c r="I2291" s="86"/>
      <c r="J2291" s="87"/>
      <c r="K2291" s="86"/>
      <c r="L2291" s="86"/>
      <c r="M2291" s="87"/>
      <c r="N2291" s="86"/>
      <c r="O2291" s="87"/>
    </row>
    <row r="2292" spans="2:15">
      <c r="B2292" s="83"/>
      <c r="C2292" s="84"/>
      <c r="D2292" s="85"/>
      <c r="E2292" s="85"/>
      <c r="F2292" s="86"/>
      <c r="G2292" s="86"/>
      <c r="H2292" s="87"/>
      <c r="I2292" s="86"/>
      <c r="J2292" s="87"/>
      <c r="K2292" s="86"/>
      <c r="L2292" s="86"/>
      <c r="M2292" s="87"/>
      <c r="N2292" s="86"/>
      <c r="O2292" s="87"/>
    </row>
    <row r="2293" spans="2:15">
      <c r="B2293" s="83"/>
      <c r="C2293" s="84"/>
      <c r="D2293" s="85"/>
      <c r="E2293" s="85"/>
      <c r="F2293" s="86"/>
      <c r="G2293" s="86"/>
      <c r="H2293" s="87"/>
      <c r="I2293" s="86"/>
      <c r="J2293" s="87"/>
      <c r="K2293" s="86"/>
      <c r="L2293" s="86"/>
      <c r="M2293" s="87"/>
      <c r="N2293" s="86"/>
      <c r="O2293" s="87"/>
    </row>
    <row r="2294" spans="2:15">
      <c r="B2294" s="83"/>
      <c r="C2294" s="84"/>
      <c r="D2294" s="85"/>
      <c r="E2294" s="85"/>
      <c r="F2294" s="86"/>
      <c r="G2294" s="86"/>
      <c r="H2294" s="87"/>
      <c r="I2294" s="86"/>
      <c r="J2294" s="87"/>
      <c r="K2294" s="86"/>
      <c r="L2294" s="86"/>
      <c r="M2294" s="87"/>
      <c r="N2294" s="86"/>
      <c r="O2294" s="87"/>
    </row>
    <row r="2295" spans="2:15">
      <c r="B2295" s="83"/>
      <c r="C2295" s="84"/>
      <c r="D2295" s="85"/>
      <c r="E2295" s="85"/>
      <c r="F2295" s="86"/>
      <c r="G2295" s="86"/>
      <c r="H2295" s="87"/>
      <c r="I2295" s="86"/>
      <c r="J2295" s="87"/>
      <c r="K2295" s="86"/>
      <c r="L2295" s="86"/>
      <c r="M2295" s="87"/>
      <c r="N2295" s="86"/>
      <c r="O2295" s="87"/>
    </row>
    <row r="2296" spans="2:15">
      <c r="B2296" s="83"/>
      <c r="C2296" s="84"/>
      <c r="D2296" s="85"/>
      <c r="E2296" s="85"/>
      <c r="F2296" s="86"/>
      <c r="G2296" s="86"/>
      <c r="H2296" s="87"/>
      <c r="I2296" s="86"/>
      <c r="J2296" s="87"/>
      <c r="K2296" s="86"/>
      <c r="L2296" s="86"/>
      <c r="M2296" s="87"/>
      <c r="N2296" s="86"/>
      <c r="O2296" s="87"/>
    </row>
    <row r="2297" spans="2:15">
      <c r="B2297" s="83"/>
      <c r="C2297" s="84"/>
      <c r="D2297" s="85"/>
      <c r="E2297" s="85"/>
      <c r="F2297" s="86"/>
      <c r="G2297" s="86"/>
      <c r="H2297" s="87"/>
      <c r="I2297" s="86"/>
      <c r="J2297" s="87"/>
      <c r="K2297" s="86"/>
      <c r="L2297" s="86"/>
      <c r="M2297" s="87"/>
      <c r="N2297" s="86"/>
      <c r="O2297" s="87"/>
    </row>
    <row r="2298" spans="2:15">
      <c r="B2298" s="83"/>
      <c r="C2298" s="84"/>
      <c r="D2298" s="85"/>
      <c r="E2298" s="85"/>
      <c r="F2298" s="86"/>
      <c r="G2298" s="86"/>
      <c r="H2298" s="87"/>
      <c r="I2298" s="86"/>
      <c r="J2298" s="87"/>
      <c r="K2298" s="86"/>
      <c r="L2298" s="86"/>
      <c r="M2298" s="87"/>
      <c r="N2298" s="86"/>
      <c r="O2298" s="87"/>
    </row>
    <row r="2299" spans="2:15">
      <c r="B2299" s="83"/>
      <c r="C2299" s="84"/>
      <c r="D2299" s="85"/>
      <c r="E2299" s="85"/>
      <c r="F2299" s="86"/>
      <c r="G2299" s="86"/>
      <c r="H2299" s="87"/>
      <c r="I2299" s="86"/>
      <c r="J2299" s="87"/>
      <c r="K2299" s="86"/>
      <c r="L2299" s="86"/>
      <c r="M2299" s="87"/>
      <c r="N2299" s="86"/>
      <c r="O2299" s="87"/>
    </row>
    <row r="2300" spans="2:15">
      <c r="B2300" s="83"/>
      <c r="C2300" s="84"/>
      <c r="D2300" s="85"/>
      <c r="E2300" s="85"/>
      <c r="F2300" s="86"/>
      <c r="G2300" s="86"/>
      <c r="H2300" s="87"/>
      <c r="I2300" s="86"/>
      <c r="J2300" s="87"/>
      <c r="K2300" s="86"/>
      <c r="L2300" s="86"/>
      <c r="M2300" s="87"/>
      <c r="N2300" s="86"/>
      <c r="O2300" s="87"/>
    </row>
    <row r="2301" spans="2:15">
      <c r="B2301" s="83"/>
      <c r="C2301" s="84"/>
      <c r="D2301" s="85"/>
      <c r="E2301" s="85"/>
      <c r="F2301" s="86"/>
      <c r="G2301" s="86"/>
      <c r="H2301" s="87"/>
      <c r="I2301" s="86"/>
      <c r="J2301" s="87"/>
      <c r="K2301" s="86"/>
      <c r="L2301" s="86"/>
      <c r="M2301" s="87"/>
      <c r="N2301" s="86"/>
      <c r="O2301" s="87"/>
    </row>
    <row r="2302" spans="2:15">
      <c r="B2302" s="83"/>
      <c r="C2302" s="84"/>
      <c r="D2302" s="85"/>
      <c r="E2302" s="85"/>
      <c r="F2302" s="86"/>
      <c r="G2302" s="86"/>
      <c r="H2302" s="87"/>
      <c r="I2302" s="86"/>
      <c r="J2302" s="87"/>
      <c r="K2302" s="86"/>
      <c r="L2302" s="86"/>
      <c r="M2302" s="87"/>
      <c r="N2302" s="86"/>
      <c r="O2302" s="87"/>
    </row>
    <row r="2303" spans="2:15">
      <c r="B2303" s="83"/>
      <c r="C2303" s="84"/>
      <c r="D2303" s="85"/>
      <c r="E2303" s="85"/>
      <c r="F2303" s="86"/>
      <c r="G2303" s="86"/>
      <c r="H2303" s="87"/>
      <c r="I2303" s="86"/>
      <c r="J2303" s="87"/>
      <c r="K2303" s="86"/>
      <c r="L2303" s="86"/>
      <c r="M2303" s="87"/>
      <c r="N2303" s="86"/>
      <c r="O2303" s="87"/>
    </row>
    <row r="2304" spans="2:15">
      <c r="B2304" s="83"/>
      <c r="C2304" s="84"/>
      <c r="D2304" s="85"/>
      <c r="E2304" s="85"/>
      <c r="F2304" s="86"/>
      <c r="G2304" s="86"/>
      <c r="H2304" s="87"/>
      <c r="I2304" s="86"/>
      <c r="J2304" s="87"/>
      <c r="K2304" s="86"/>
      <c r="L2304" s="86"/>
      <c r="M2304" s="87"/>
      <c r="N2304" s="86"/>
      <c r="O2304" s="87"/>
    </row>
    <row r="2305" spans="2:15">
      <c r="B2305" s="83"/>
      <c r="C2305" s="84"/>
      <c r="D2305" s="85"/>
      <c r="E2305" s="85"/>
      <c r="F2305" s="86"/>
      <c r="G2305" s="86"/>
      <c r="H2305" s="87"/>
      <c r="I2305" s="86"/>
      <c r="J2305" s="87"/>
      <c r="K2305" s="86"/>
      <c r="L2305" s="86"/>
      <c r="M2305" s="87"/>
      <c r="N2305" s="86"/>
      <c r="O2305" s="87"/>
    </row>
    <row r="2306" spans="2:15">
      <c r="B2306" s="83"/>
      <c r="C2306" s="84"/>
      <c r="D2306" s="85"/>
      <c r="E2306" s="85"/>
      <c r="F2306" s="86"/>
      <c r="G2306" s="86"/>
      <c r="H2306" s="87"/>
      <c r="I2306" s="86"/>
      <c r="J2306" s="87"/>
      <c r="K2306" s="86"/>
      <c r="L2306" s="86"/>
      <c r="M2306" s="87"/>
      <c r="N2306" s="86"/>
      <c r="O2306" s="87"/>
    </row>
    <row r="2307" spans="2:15">
      <c r="B2307" s="83"/>
      <c r="C2307" s="84"/>
      <c r="D2307" s="85"/>
      <c r="E2307" s="85"/>
      <c r="F2307" s="86"/>
      <c r="G2307" s="86"/>
      <c r="H2307" s="87"/>
      <c r="I2307" s="86"/>
      <c r="J2307" s="87"/>
      <c r="K2307" s="86"/>
      <c r="L2307" s="86"/>
      <c r="M2307" s="87"/>
      <c r="N2307" s="86"/>
      <c r="O2307" s="87"/>
    </row>
    <row r="2308" spans="2:15">
      <c r="B2308" s="83"/>
      <c r="C2308" s="84"/>
      <c r="D2308" s="85"/>
      <c r="E2308" s="85"/>
      <c r="F2308" s="86"/>
      <c r="G2308" s="86"/>
      <c r="H2308" s="87"/>
      <c r="I2308" s="86"/>
      <c r="J2308" s="87"/>
      <c r="K2308" s="86"/>
      <c r="L2308" s="86"/>
      <c r="M2308" s="87"/>
      <c r="N2308" s="86"/>
      <c r="O2308" s="87"/>
    </row>
    <row r="2309" spans="2:15">
      <c r="B2309" s="83"/>
      <c r="C2309" s="84"/>
      <c r="D2309" s="85"/>
      <c r="E2309" s="85"/>
      <c r="F2309" s="86"/>
      <c r="G2309" s="86"/>
      <c r="H2309" s="87"/>
      <c r="I2309" s="86"/>
      <c r="J2309" s="87"/>
      <c r="K2309" s="86"/>
      <c r="L2309" s="86"/>
      <c r="M2309" s="87"/>
      <c r="N2309" s="86"/>
      <c r="O2309" s="87"/>
    </row>
    <row r="2310" spans="2:15">
      <c r="B2310" s="83"/>
      <c r="C2310" s="84"/>
      <c r="D2310" s="85"/>
      <c r="E2310" s="85"/>
      <c r="F2310" s="86"/>
      <c r="G2310" s="86"/>
      <c r="H2310" s="87"/>
      <c r="I2310" s="86"/>
      <c r="J2310" s="87"/>
      <c r="K2310" s="86"/>
      <c r="L2310" s="86"/>
      <c r="M2310" s="87"/>
      <c r="N2310" s="86"/>
      <c r="O2310" s="87"/>
    </row>
    <row r="2311" spans="2:15">
      <c r="B2311" s="83"/>
      <c r="C2311" s="84"/>
      <c r="D2311" s="85"/>
      <c r="E2311" s="85"/>
      <c r="F2311" s="86"/>
      <c r="G2311" s="86"/>
      <c r="H2311" s="87"/>
      <c r="I2311" s="86"/>
      <c r="J2311" s="87"/>
      <c r="K2311" s="86"/>
      <c r="L2311" s="86"/>
      <c r="M2311" s="87"/>
      <c r="N2311" s="86"/>
      <c r="O2311" s="87"/>
    </row>
    <row r="2312" spans="2:15">
      <c r="B2312" s="83"/>
      <c r="C2312" s="84"/>
      <c r="D2312" s="85"/>
      <c r="E2312" s="85"/>
      <c r="F2312" s="86"/>
      <c r="G2312" s="86"/>
      <c r="H2312" s="87"/>
      <c r="I2312" s="86"/>
      <c r="J2312" s="87"/>
      <c r="K2312" s="86"/>
      <c r="L2312" s="86"/>
      <c r="M2312" s="87"/>
      <c r="N2312" s="86"/>
      <c r="O2312" s="87"/>
    </row>
    <row r="2313" spans="2:15">
      <c r="B2313" s="83"/>
      <c r="C2313" s="84"/>
      <c r="D2313" s="85"/>
      <c r="E2313" s="85"/>
      <c r="F2313" s="86"/>
      <c r="G2313" s="86"/>
      <c r="H2313" s="87"/>
      <c r="I2313" s="86"/>
      <c r="J2313" s="87"/>
      <c r="K2313" s="86"/>
      <c r="L2313" s="86"/>
      <c r="M2313" s="87"/>
      <c r="N2313" s="86"/>
      <c r="O2313" s="87"/>
    </row>
    <row r="2314" spans="2:15">
      <c r="B2314" s="83"/>
      <c r="C2314" s="84"/>
      <c r="D2314" s="85"/>
      <c r="E2314" s="85"/>
      <c r="F2314" s="86"/>
      <c r="G2314" s="86"/>
      <c r="H2314" s="87"/>
      <c r="I2314" s="86"/>
      <c r="J2314" s="87"/>
      <c r="K2314" s="86"/>
      <c r="L2314" s="86"/>
      <c r="M2314" s="87"/>
      <c r="N2314" s="86"/>
      <c r="O2314" s="87"/>
    </row>
    <row r="2315" spans="2:15">
      <c r="B2315" s="83"/>
      <c r="C2315" s="84"/>
      <c r="D2315" s="85"/>
      <c r="E2315" s="85"/>
      <c r="F2315" s="86"/>
      <c r="G2315" s="86"/>
      <c r="H2315" s="87"/>
      <c r="I2315" s="86"/>
      <c r="J2315" s="87"/>
      <c r="K2315" s="86"/>
      <c r="L2315" s="86"/>
      <c r="M2315" s="87"/>
      <c r="N2315" s="86"/>
      <c r="O2315" s="87"/>
    </row>
    <row r="2316" spans="2:15">
      <c r="B2316" s="83"/>
      <c r="C2316" s="84"/>
      <c r="D2316" s="85"/>
      <c r="E2316" s="85"/>
      <c r="F2316" s="86"/>
      <c r="G2316" s="86"/>
      <c r="H2316" s="87"/>
      <c r="I2316" s="86"/>
      <c r="J2316" s="87"/>
      <c r="K2316" s="86"/>
      <c r="L2316" s="86"/>
      <c r="M2316" s="87"/>
      <c r="N2316" s="86"/>
      <c r="O2316" s="87"/>
    </row>
    <row r="2317" spans="2:15">
      <c r="B2317" s="83"/>
      <c r="C2317" s="84"/>
      <c r="D2317" s="85"/>
      <c r="E2317" s="85"/>
      <c r="F2317" s="86"/>
      <c r="G2317" s="86"/>
      <c r="H2317" s="87"/>
      <c r="I2317" s="86"/>
      <c r="J2317" s="87"/>
      <c r="K2317" s="86"/>
      <c r="L2317" s="86"/>
      <c r="M2317" s="87"/>
      <c r="N2317" s="86"/>
      <c r="O2317" s="87"/>
    </row>
    <row r="2318" spans="2:15">
      <c r="B2318" s="83"/>
      <c r="C2318" s="84"/>
      <c r="D2318" s="85"/>
      <c r="E2318" s="85"/>
      <c r="F2318" s="86"/>
      <c r="G2318" s="86"/>
      <c r="H2318" s="87"/>
      <c r="I2318" s="86"/>
      <c r="J2318" s="87"/>
      <c r="K2318" s="86"/>
      <c r="L2318" s="86"/>
      <c r="M2318" s="87"/>
      <c r="N2318" s="86"/>
      <c r="O2318" s="87"/>
    </row>
    <row r="2319" spans="2:15">
      <c r="B2319" s="83"/>
      <c r="C2319" s="84"/>
      <c r="D2319" s="85"/>
      <c r="E2319" s="85"/>
      <c r="F2319" s="86"/>
      <c r="G2319" s="86"/>
      <c r="H2319" s="87"/>
      <c r="I2319" s="86"/>
      <c r="J2319" s="87"/>
      <c r="K2319" s="86"/>
      <c r="L2319" s="86"/>
      <c r="M2319" s="87"/>
      <c r="N2319" s="86"/>
      <c r="O2319" s="87"/>
    </row>
    <row r="2320" spans="2:15">
      <c r="B2320" s="83"/>
      <c r="C2320" s="84"/>
      <c r="D2320" s="85"/>
      <c r="E2320" s="85"/>
      <c r="F2320" s="86"/>
      <c r="G2320" s="86"/>
      <c r="H2320" s="87"/>
      <c r="I2320" s="86"/>
      <c r="J2320" s="87"/>
      <c r="K2320" s="86"/>
      <c r="L2320" s="86"/>
      <c r="M2320" s="87"/>
      <c r="N2320" s="86"/>
      <c r="O2320" s="87"/>
    </row>
    <row r="2321" spans="2:15">
      <c r="B2321" s="83"/>
      <c r="C2321" s="84"/>
      <c r="D2321" s="85"/>
      <c r="E2321" s="85"/>
      <c r="F2321" s="86"/>
      <c r="G2321" s="86"/>
      <c r="H2321" s="87"/>
      <c r="I2321" s="86"/>
      <c r="J2321" s="87"/>
      <c r="K2321" s="86"/>
      <c r="L2321" s="86"/>
      <c r="M2321" s="87"/>
      <c r="N2321" s="86"/>
      <c r="O2321" s="87"/>
    </row>
    <row r="2322" spans="2:15">
      <c r="B2322" s="83"/>
      <c r="C2322" s="84"/>
      <c r="D2322" s="85"/>
      <c r="E2322" s="85"/>
      <c r="F2322" s="86"/>
      <c r="G2322" s="86"/>
      <c r="H2322" s="87"/>
      <c r="I2322" s="86"/>
      <c r="J2322" s="87"/>
      <c r="K2322" s="86"/>
      <c r="L2322" s="86"/>
      <c r="M2322" s="87"/>
      <c r="N2322" s="86"/>
      <c r="O2322" s="87"/>
    </row>
    <row r="2323" spans="2:15">
      <c r="B2323" s="83"/>
      <c r="C2323" s="84"/>
      <c r="D2323" s="85"/>
      <c r="E2323" s="85"/>
      <c r="F2323" s="86"/>
      <c r="G2323" s="86"/>
      <c r="H2323" s="87"/>
      <c r="I2323" s="86"/>
      <c r="J2323" s="87"/>
      <c r="K2323" s="86"/>
      <c r="L2323" s="86"/>
      <c r="M2323" s="87"/>
      <c r="N2323" s="86"/>
      <c r="O2323" s="87"/>
    </row>
    <row r="2324" spans="2:15">
      <c r="B2324" s="83"/>
      <c r="C2324" s="84"/>
      <c r="D2324" s="85"/>
      <c r="E2324" s="85"/>
      <c r="F2324" s="86"/>
      <c r="G2324" s="86"/>
      <c r="H2324" s="87"/>
      <c r="I2324" s="86"/>
      <c r="J2324" s="87"/>
      <c r="K2324" s="86"/>
      <c r="L2324" s="86"/>
      <c r="M2324" s="87"/>
      <c r="N2324" s="86"/>
      <c r="O2324" s="87"/>
    </row>
    <row r="2325" spans="2:15">
      <c r="B2325" s="83"/>
      <c r="C2325" s="84"/>
      <c r="D2325" s="85"/>
      <c r="E2325" s="85"/>
      <c r="F2325" s="86"/>
      <c r="G2325" s="86"/>
      <c r="H2325" s="87"/>
      <c r="I2325" s="86"/>
      <c r="J2325" s="87"/>
      <c r="K2325" s="86"/>
      <c r="L2325" s="86"/>
      <c r="M2325" s="87"/>
      <c r="N2325" s="86"/>
      <c r="O2325" s="87"/>
    </row>
    <row r="2326" spans="2:15">
      <c r="B2326" s="83"/>
      <c r="C2326" s="84"/>
      <c r="D2326" s="85"/>
      <c r="E2326" s="85"/>
      <c r="F2326" s="86"/>
      <c r="G2326" s="86"/>
      <c r="H2326" s="87"/>
      <c r="I2326" s="86"/>
      <c r="J2326" s="87"/>
      <c r="K2326" s="86"/>
      <c r="L2326" s="86"/>
      <c r="M2326" s="87"/>
      <c r="N2326" s="86"/>
      <c r="O2326" s="87"/>
    </row>
    <row r="2327" spans="2:15">
      <c r="B2327" s="83"/>
      <c r="C2327" s="84"/>
      <c r="D2327" s="85"/>
      <c r="E2327" s="85"/>
      <c r="F2327" s="86"/>
      <c r="G2327" s="86"/>
      <c r="H2327" s="87"/>
      <c r="I2327" s="86"/>
      <c r="J2327" s="87"/>
      <c r="K2327" s="86"/>
      <c r="L2327" s="86"/>
      <c r="M2327" s="87"/>
      <c r="N2327" s="86"/>
      <c r="O2327" s="87"/>
    </row>
    <row r="2328" spans="2:15">
      <c r="B2328" s="83"/>
      <c r="C2328" s="84"/>
      <c r="D2328" s="85"/>
      <c r="E2328" s="85"/>
      <c r="F2328" s="86"/>
      <c r="G2328" s="86"/>
      <c r="H2328" s="87"/>
      <c r="I2328" s="86"/>
      <c r="J2328" s="87"/>
      <c r="K2328" s="86"/>
      <c r="L2328" s="86"/>
      <c r="M2328" s="87"/>
      <c r="N2328" s="86"/>
      <c r="O2328" s="87"/>
    </row>
    <row r="2329" spans="2:15">
      <c r="B2329" s="83"/>
      <c r="C2329" s="84"/>
      <c r="D2329" s="85"/>
      <c r="E2329" s="85"/>
      <c r="F2329" s="86"/>
      <c r="G2329" s="86"/>
      <c r="H2329" s="87"/>
      <c r="I2329" s="86"/>
      <c r="J2329" s="87"/>
      <c r="K2329" s="86"/>
      <c r="L2329" s="86"/>
      <c r="M2329" s="87"/>
      <c r="N2329" s="86"/>
      <c r="O2329" s="87"/>
    </row>
    <row r="2330" spans="2:15">
      <c r="B2330" s="83"/>
      <c r="C2330" s="84"/>
      <c r="D2330" s="85"/>
      <c r="E2330" s="85"/>
      <c r="F2330" s="86"/>
      <c r="G2330" s="86"/>
      <c r="H2330" s="87"/>
      <c r="I2330" s="86"/>
      <c r="J2330" s="87"/>
      <c r="K2330" s="86"/>
      <c r="L2330" s="86"/>
      <c r="M2330" s="87"/>
      <c r="N2330" s="86"/>
      <c r="O2330" s="87"/>
    </row>
    <row r="2331" spans="2:15">
      <c r="B2331" s="83"/>
      <c r="C2331" s="84"/>
      <c r="D2331" s="85"/>
      <c r="E2331" s="85"/>
      <c r="F2331" s="86"/>
      <c r="G2331" s="86"/>
      <c r="H2331" s="87"/>
      <c r="I2331" s="86"/>
      <c r="J2331" s="87"/>
      <c r="K2331" s="86"/>
      <c r="L2331" s="86"/>
      <c r="M2331" s="87"/>
      <c r="N2331" s="86"/>
      <c r="O2331" s="87"/>
    </row>
    <row r="2332" spans="2:15">
      <c r="B2332" s="83"/>
      <c r="C2332" s="84"/>
      <c r="D2332" s="85"/>
      <c r="E2332" s="85"/>
      <c r="F2332" s="86"/>
      <c r="G2332" s="86"/>
      <c r="H2332" s="87"/>
      <c r="I2332" s="86"/>
      <c r="J2332" s="87"/>
      <c r="K2332" s="86"/>
      <c r="L2332" s="86"/>
      <c r="M2332" s="87"/>
      <c r="N2332" s="86"/>
      <c r="O2332" s="87"/>
    </row>
    <row r="2333" spans="2:15">
      <c r="B2333" s="83"/>
      <c r="C2333" s="84"/>
      <c r="D2333" s="85"/>
      <c r="E2333" s="85"/>
      <c r="F2333" s="86"/>
      <c r="G2333" s="86"/>
      <c r="H2333" s="87"/>
      <c r="I2333" s="86"/>
      <c r="J2333" s="87"/>
      <c r="K2333" s="86"/>
      <c r="L2333" s="86"/>
      <c r="M2333" s="87"/>
      <c r="N2333" s="86"/>
      <c r="O2333" s="87"/>
    </row>
    <row r="2334" spans="2:15">
      <c r="B2334" s="83"/>
      <c r="C2334" s="84"/>
      <c r="D2334" s="85"/>
      <c r="E2334" s="85"/>
      <c r="F2334" s="86"/>
      <c r="G2334" s="86"/>
      <c r="H2334" s="87"/>
      <c r="I2334" s="86"/>
      <c r="J2334" s="87"/>
      <c r="K2334" s="86"/>
      <c r="L2334" s="86"/>
      <c r="M2334" s="87"/>
      <c r="N2334" s="86"/>
      <c r="O2334" s="87"/>
    </row>
    <row r="2335" spans="2:15">
      <c r="B2335" s="83"/>
      <c r="C2335" s="84"/>
      <c r="D2335" s="85"/>
      <c r="E2335" s="85"/>
      <c r="F2335" s="86"/>
      <c r="G2335" s="86"/>
      <c r="H2335" s="87"/>
      <c r="I2335" s="86"/>
      <c r="J2335" s="87"/>
      <c r="K2335" s="86"/>
      <c r="L2335" s="86"/>
      <c r="M2335" s="87"/>
      <c r="N2335" s="86"/>
      <c r="O2335" s="87"/>
    </row>
    <row r="2336" spans="2:15">
      <c r="B2336" s="83"/>
      <c r="C2336" s="84"/>
      <c r="D2336" s="85"/>
      <c r="E2336" s="85"/>
      <c r="F2336" s="86"/>
      <c r="G2336" s="86"/>
      <c r="H2336" s="87"/>
      <c r="I2336" s="86"/>
      <c r="J2336" s="87"/>
      <c r="K2336" s="86"/>
      <c r="L2336" s="86"/>
      <c r="M2336" s="87"/>
      <c r="N2336" s="86"/>
      <c r="O2336" s="87"/>
    </row>
    <row r="2337" spans="2:15">
      <c r="B2337" s="83"/>
      <c r="C2337" s="84"/>
      <c r="D2337" s="85"/>
      <c r="E2337" s="85"/>
      <c r="F2337" s="86"/>
      <c r="G2337" s="86"/>
      <c r="H2337" s="87"/>
      <c r="I2337" s="86"/>
      <c r="J2337" s="87"/>
      <c r="K2337" s="86"/>
      <c r="L2337" s="86"/>
      <c r="M2337" s="87"/>
      <c r="N2337" s="86"/>
      <c r="O2337" s="87"/>
    </row>
    <row r="2338" spans="2:15">
      <c r="B2338" s="83"/>
      <c r="C2338" s="84"/>
      <c r="D2338" s="85"/>
      <c r="E2338" s="85"/>
      <c r="F2338" s="86"/>
      <c r="G2338" s="86"/>
      <c r="H2338" s="87"/>
      <c r="I2338" s="86"/>
      <c r="J2338" s="87"/>
      <c r="K2338" s="86"/>
      <c r="L2338" s="86"/>
      <c r="M2338" s="87"/>
      <c r="N2338" s="86"/>
      <c r="O2338" s="87"/>
    </row>
    <row r="2339" spans="2:15">
      <c r="B2339" s="83"/>
      <c r="C2339" s="84"/>
      <c r="D2339" s="85"/>
      <c r="E2339" s="85"/>
      <c r="F2339" s="86"/>
      <c r="G2339" s="86"/>
      <c r="H2339" s="87"/>
      <c r="I2339" s="86"/>
      <c r="J2339" s="87"/>
      <c r="K2339" s="86"/>
      <c r="L2339" s="86"/>
      <c r="M2339" s="87"/>
      <c r="N2339" s="86"/>
      <c r="O2339" s="87"/>
    </row>
    <row r="2340" spans="2:15">
      <c r="B2340" s="83"/>
      <c r="C2340" s="84"/>
      <c r="D2340" s="85"/>
      <c r="E2340" s="85"/>
      <c r="F2340" s="86"/>
      <c r="G2340" s="86"/>
      <c r="H2340" s="87"/>
      <c r="I2340" s="86"/>
      <c r="J2340" s="87"/>
      <c r="K2340" s="86"/>
      <c r="L2340" s="86"/>
      <c r="M2340" s="87"/>
      <c r="N2340" s="86"/>
      <c r="O2340" s="87"/>
    </row>
    <row r="2341" spans="2:15">
      <c r="B2341" s="83"/>
      <c r="C2341" s="84"/>
      <c r="D2341" s="85"/>
      <c r="E2341" s="85"/>
      <c r="F2341" s="86"/>
      <c r="G2341" s="86"/>
      <c r="H2341" s="87"/>
      <c r="I2341" s="86"/>
      <c r="J2341" s="87"/>
      <c r="K2341" s="86"/>
      <c r="L2341" s="86"/>
      <c r="M2341" s="87"/>
      <c r="N2341" s="86"/>
      <c r="O2341" s="87"/>
    </row>
    <row r="2342" spans="2:15">
      <c r="B2342" s="83"/>
      <c r="C2342" s="84"/>
      <c r="D2342" s="85"/>
      <c r="E2342" s="85"/>
      <c r="F2342" s="86"/>
      <c r="G2342" s="86"/>
      <c r="H2342" s="87"/>
      <c r="I2342" s="86"/>
      <c r="J2342" s="87"/>
      <c r="K2342" s="86"/>
      <c r="L2342" s="86"/>
      <c r="M2342" s="87"/>
      <c r="N2342" s="86"/>
      <c r="O2342" s="87"/>
    </row>
    <row r="2343" spans="2:15">
      <c r="B2343" s="83"/>
      <c r="C2343" s="84"/>
      <c r="D2343" s="85"/>
      <c r="E2343" s="85"/>
      <c r="F2343" s="86"/>
      <c r="G2343" s="86"/>
      <c r="H2343" s="87"/>
      <c r="I2343" s="86"/>
      <c r="J2343" s="87"/>
      <c r="K2343" s="86"/>
      <c r="L2343" s="86"/>
      <c r="M2343" s="87"/>
      <c r="N2343" s="86"/>
      <c r="O2343" s="87"/>
    </row>
    <row r="2344" spans="2:15">
      <c r="B2344" s="83"/>
      <c r="C2344" s="84"/>
      <c r="D2344" s="85"/>
      <c r="E2344" s="85"/>
      <c r="F2344" s="86"/>
      <c r="G2344" s="86"/>
      <c r="H2344" s="87"/>
      <c r="I2344" s="86"/>
      <c r="J2344" s="87"/>
      <c r="K2344" s="86"/>
      <c r="L2344" s="86"/>
      <c r="M2344" s="87"/>
      <c r="N2344" s="86"/>
      <c r="O2344" s="87"/>
    </row>
    <row r="2345" spans="2:15">
      <c r="B2345" s="83"/>
      <c r="C2345" s="84"/>
      <c r="D2345" s="85"/>
      <c r="E2345" s="85"/>
      <c r="F2345" s="86"/>
      <c r="G2345" s="86"/>
      <c r="H2345" s="87"/>
      <c r="I2345" s="86"/>
      <c r="J2345" s="87"/>
      <c r="K2345" s="86"/>
      <c r="L2345" s="86"/>
      <c r="M2345" s="87"/>
      <c r="N2345" s="86"/>
      <c r="O2345" s="87"/>
    </row>
    <row r="2346" spans="2:15">
      <c r="B2346" s="83"/>
      <c r="C2346" s="84"/>
      <c r="D2346" s="85"/>
      <c r="E2346" s="85"/>
      <c r="F2346" s="86"/>
      <c r="G2346" s="86"/>
      <c r="H2346" s="87"/>
      <c r="I2346" s="86"/>
      <c r="J2346" s="87"/>
      <c r="K2346" s="86"/>
      <c r="L2346" s="86"/>
      <c r="M2346" s="87"/>
      <c r="N2346" s="86"/>
      <c r="O2346" s="87"/>
    </row>
    <row r="2347" spans="2:15">
      <c r="B2347" s="83"/>
      <c r="C2347" s="84"/>
      <c r="D2347" s="85"/>
      <c r="E2347" s="85"/>
      <c r="F2347" s="86"/>
      <c r="G2347" s="86"/>
      <c r="H2347" s="87"/>
      <c r="I2347" s="86"/>
      <c r="J2347" s="87"/>
      <c r="K2347" s="86"/>
      <c r="L2347" s="86"/>
      <c r="M2347" s="87"/>
      <c r="N2347" s="86"/>
      <c r="O2347" s="87"/>
    </row>
    <row r="2348" spans="2:15">
      <c r="B2348" s="83"/>
      <c r="C2348" s="84"/>
      <c r="D2348" s="85"/>
      <c r="E2348" s="85"/>
      <c r="F2348" s="86"/>
      <c r="G2348" s="86"/>
      <c r="H2348" s="87"/>
      <c r="I2348" s="86"/>
      <c r="J2348" s="87"/>
      <c r="K2348" s="86"/>
      <c r="L2348" s="86"/>
      <c r="M2348" s="87"/>
      <c r="N2348" s="86"/>
      <c r="O2348" s="87"/>
    </row>
    <row r="2349" spans="2:15">
      <c r="B2349" s="83"/>
      <c r="C2349" s="84"/>
      <c r="D2349" s="85"/>
      <c r="E2349" s="85"/>
      <c r="F2349" s="86"/>
      <c r="G2349" s="86"/>
      <c r="H2349" s="87"/>
      <c r="I2349" s="86"/>
      <c r="J2349" s="87"/>
      <c r="K2349" s="86"/>
      <c r="L2349" s="86"/>
      <c r="M2349" s="87"/>
      <c r="N2349" s="86"/>
      <c r="O2349" s="87"/>
    </row>
    <row r="2350" spans="2:15">
      <c r="B2350" s="83"/>
      <c r="C2350" s="84"/>
      <c r="D2350" s="85"/>
      <c r="E2350" s="85"/>
      <c r="F2350" s="86"/>
      <c r="G2350" s="86"/>
      <c r="H2350" s="87"/>
      <c r="I2350" s="86"/>
      <c r="J2350" s="87"/>
      <c r="K2350" s="86"/>
      <c r="L2350" s="86"/>
      <c r="M2350" s="87"/>
      <c r="N2350" s="86"/>
      <c r="O2350" s="87"/>
    </row>
    <row r="2351" spans="2:15">
      <c r="B2351" s="83"/>
      <c r="C2351" s="84"/>
      <c r="D2351" s="85"/>
      <c r="E2351" s="85"/>
      <c r="F2351" s="86"/>
      <c r="G2351" s="86"/>
      <c r="H2351" s="87"/>
      <c r="I2351" s="86"/>
      <c r="J2351" s="87"/>
      <c r="K2351" s="86"/>
      <c r="L2351" s="86"/>
      <c r="M2351" s="87"/>
      <c r="N2351" s="86"/>
      <c r="O2351" s="87"/>
    </row>
    <row r="2352" spans="2:15">
      <c r="B2352" s="83"/>
      <c r="C2352" s="84"/>
      <c r="D2352" s="85"/>
      <c r="E2352" s="85"/>
      <c r="F2352" s="86"/>
      <c r="G2352" s="86"/>
      <c r="H2352" s="87"/>
      <c r="I2352" s="86"/>
      <c r="J2352" s="87"/>
      <c r="K2352" s="86"/>
      <c r="L2352" s="86"/>
      <c r="M2352" s="87"/>
      <c r="N2352" s="86"/>
      <c r="O2352" s="87"/>
    </row>
    <row r="2353" spans="2:15">
      <c r="B2353" s="83"/>
      <c r="C2353" s="84"/>
      <c r="D2353" s="85"/>
      <c r="E2353" s="85"/>
      <c r="F2353" s="86"/>
      <c r="G2353" s="86"/>
      <c r="H2353" s="87"/>
      <c r="I2353" s="86"/>
      <c r="J2353" s="87"/>
      <c r="K2353" s="86"/>
      <c r="L2353" s="86"/>
      <c r="M2353" s="87"/>
      <c r="N2353" s="86"/>
      <c r="O2353" s="87"/>
    </row>
    <row r="2354" spans="2:15">
      <c r="B2354" s="83"/>
      <c r="C2354" s="84"/>
      <c r="D2354" s="85"/>
      <c r="E2354" s="85"/>
      <c r="F2354" s="86"/>
      <c r="G2354" s="86"/>
      <c r="H2354" s="87"/>
      <c r="I2354" s="86"/>
      <c r="J2354" s="87"/>
      <c r="K2354" s="86"/>
      <c r="L2354" s="86"/>
      <c r="M2354" s="87"/>
      <c r="N2354" s="86"/>
      <c r="O2354" s="87"/>
    </row>
    <row r="2355" spans="2:15">
      <c r="B2355" s="83"/>
      <c r="C2355" s="84"/>
      <c r="D2355" s="85"/>
      <c r="E2355" s="85"/>
      <c r="F2355" s="86"/>
      <c r="G2355" s="86"/>
      <c r="H2355" s="87"/>
      <c r="I2355" s="86"/>
      <c r="J2355" s="87"/>
      <c r="K2355" s="86"/>
      <c r="L2355" s="86"/>
      <c r="M2355" s="87"/>
      <c r="N2355" s="86"/>
      <c r="O2355" s="87"/>
    </row>
    <row r="2356" spans="2:15">
      <c r="B2356" s="83"/>
      <c r="C2356" s="84"/>
      <c r="D2356" s="85"/>
      <c r="E2356" s="85"/>
      <c r="F2356" s="86"/>
      <c r="G2356" s="86"/>
      <c r="H2356" s="87"/>
      <c r="I2356" s="86"/>
      <c r="J2356" s="87"/>
      <c r="K2356" s="86"/>
      <c r="L2356" s="86"/>
      <c r="M2356" s="87"/>
      <c r="N2356" s="86"/>
      <c r="O2356" s="87"/>
    </row>
    <row r="2357" spans="2:15">
      <c r="B2357" s="83"/>
      <c r="C2357" s="84"/>
      <c r="D2357" s="85"/>
      <c r="E2357" s="85"/>
      <c r="F2357" s="86"/>
      <c r="G2357" s="86"/>
      <c r="H2357" s="87"/>
      <c r="I2357" s="86"/>
      <c r="J2357" s="87"/>
      <c r="K2357" s="86"/>
      <c r="L2357" s="86"/>
      <c r="M2357" s="87"/>
      <c r="N2357" s="86"/>
      <c r="O2357" s="87"/>
    </row>
    <row r="2358" spans="2:15">
      <c r="B2358" s="83"/>
      <c r="C2358" s="84"/>
      <c r="D2358" s="85"/>
      <c r="E2358" s="85"/>
      <c r="F2358" s="86"/>
      <c r="G2358" s="86"/>
      <c r="H2358" s="87"/>
      <c r="I2358" s="86"/>
      <c r="J2358" s="87"/>
      <c r="K2358" s="86"/>
      <c r="L2358" s="86"/>
      <c r="M2358" s="87"/>
      <c r="N2358" s="86"/>
      <c r="O2358" s="87"/>
    </row>
    <row r="2359" spans="2:15">
      <c r="B2359" s="83"/>
      <c r="C2359" s="84"/>
      <c r="D2359" s="85"/>
      <c r="E2359" s="85"/>
      <c r="F2359" s="86"/>
      <c r="G2359" s="86"/>
      <c r="H2359" s="87"/>
      <c r="I2359" s="86"/>
      <c r="J2359" s="87"/>
      <c r="K2359" s="86"/>
      <c r="L2359" s="86"/>
      <c r="M2359" s="87"/>
      <c r="N2359" s="86"/>
      <c r="O2359" s="87"/>
    </row>
    <row r="2360" spans="2:15">
      <c r="B2360" s="83"/>
      <c r="C2360" s="84"/>
      <c r="D2360" s="85"/>
      <c r="E2360" s="85"/>
      <c r="F2360" s="86"/>
      <c r="G2360" s="86"/>
      <c r="H2360" s="87"/>
      <c r="I2360" s="86"/>
      <c r="J2360" s="87"/>
      <c r="K2360" s="86"/>
      <c r="L2360" s="86"/>
      <c r="M2360" s="87"/>
      <c r="N2360" s="86"/>
      <c r="O2360" s="87"/>
    </row>
    <row r="2361" spans="2:15">
      <c r="B2361" s="83"/>
      <c r="C2361" s="84"/>
      <c r="D2361" s="85"/>
      <c r="E2361" s="85"/>
      <c r="F2361" s="86"/>
      <c r="G2361" s="86"/>
      <c r="H2361" s="87"/>
      <c r="I2361" s="86"/>
      <c r="J2361" s="87"/>
      <c r="K2361" s="86"/>
      <c r="L2361" s="86"/>
      <c r="M2361" s="87"/>
      <c r="N2361" s="86"/>
      <c r="O2361" s="87"/>
    </row>
    <row r="2362" spans="2:15">
      <c r="B2362" s="83"/>
      <c r="C2362" s="84"/>
      <c r="D2362" s="85"/>
      <c r="E2362" s="85"/>
      <c r="F2362" s="86"/>
      <c r="G2362" s="86"/>
      <c r="H2362" s="87"/>
      <c r="I2362" s="86"/>
      <c r="J2362" s="87"/>
      <c r="K2362" s="86"/>
      <c r="L2362" s="86"/>
      <c r="M2362" s="87"/>
      <c r="N2362" s="86"/>
      <c r="O2362" s="87"/>
    </row>
    <row r="2363" spans="2:15">
      <c r="B2363" s="83"/>
      <c r="C2363" s="84"/>
      <c r="D2363" s="85"/>
      <c r="E2363" s="85"/>
      <c r="F2363" s="86"/>
      <c r="G2363" s="86"/>
      <c r="H2363" s="87"/>
      <c r="I2363" s="86"/>
      <c r="J2363" s="87"/>
      <c r="K2363" s="86"/>
      <c r="L2363" s="86"/>
      <c r="M2363" s="87"/>
      <c r="N2363" s="86"/>
      <c r="O2363" s="87"/>
    </row>
    <row r="2364" spans="2:15">
      <c r="B2364" s="83"/>
      <c r="C2364" s="84"/>
      <c r="D2364" s="85"/>
      <c r="E2364" s="85"/>
      <c r="F2364" s="86"/>
      <c r="G2364" s="86"/>
      <c r="H2364" s="87"/>
      <c r="I2364" s="86"/>
      <c r="J2364" s="87"/>
      <c r="K2364" s="86"/>
      <c r="L2364" s="86"/>
      <c r="M2364" s="87"/>
      <c r="N2364" s="86"/>
      <c r="O2364" s="87"/>
    </row>
    <row r="2365" spans="2:15">
      <c r="B2365" s="83"/>
      <c r="C2365" s="84"/>
      <c r="D2365" s="85"/>
      <c r="E2365" s="85"/>
      <c r="F2365" s="86"/>
      <c r="G2365" s="86"/>
      <c r="H2365" s="87"/>
      <c r="I2365" s="86"/>
      <c r="J2365" s="87"/>
      <c r="K2365" s="86"/>
      <c r="L2365" s="86"/>
      <c r="M2365" s="87"/>
      <c r="N2365" s="86"/>
      <c r="O2365" s="87"/>
    </row>
    <row r="2366" spans="2:15">
      <c r="B2366" s="83"/>
      <c r="C2366" s="84"/>
      <c r="D2366" s="85"/>
      <c r="E2366" s="85"/>
      <c r="F2366" s="86"/>
      <c r="G2366" s="86"/>
      <c r="H2366" s="87"/>
      <c r="I2366" s="86"/>
      <c r="J2366" s="87"/>
      <c r="K2366" s="86"/>
      <c r="L2366" s="86"/>
      <c r="M2366" s="87"/>
      <c r="N2366" s="86"/>
      <c r="O2366" s="87"/>
    </row>
    <row r="2367" spans="2:15">
      <c r="B2367" s="83"/>
      <c r="C2367" s="84"/>
      <c r="D2367" s="85"/>
      <c r="E2367" s="85"/>
      <c r="F2367" s="86"/>
      <c r="G2367" s="86"/>
      <c r="H2367" s="87"/>
      <c r="I2367" s="86"/>
      <c r="J2367" s="87"/>
      <c r="K2367" s="86"/>
      <c r="L2367" s="86"/>
      <c r="M2367" s="87"/>
      <c r="N2367" s="86"/>
      <c r="O2367" s="87"/>
    </row>
    <row r="2368" spans="2:15">
      <c r="B2368" s="83"/>
      <c r="C2368" s="84"/>
      <c r="D2368" s="85"/>
      <c r="E2368" s="85"/>
      <c r="F2368" s="86"/>
      <c r="G2368" s="86"/>
      <c r="H2368" s="87"/>
      <c r="I2368" s="86"/>
      <c r="J2368" s="87"/>
      <c r="K2368" s="86"/>
      <c r="L2368" s="86"/>
      <c r="M2368" s="87"/>
      <c r="N2368" s="86"/>
      <c r="O2368" s="87"/>
    </row>
    <row r="2369" spans="2:15">
      <c r="B2369" s="83"/>
      <c r="C2369" s="84"/>
      <c r="D2369" s="85"/>
      <c r="E2369" s="85"/>
      <c r="F2369" s="86"/>
      <c r="G2369" s="86"/>
      <c r="H2369" s="87"/>
      <c r="I2369" s="86"/>
      <c r="J2369" s="87"/>
      <c r="K2369" s="86"/>
      <c r="L2369" s="86"/>
      <c r="M2369" s="87"/>
      <c r="N2369" s="86"/>
      <c r="O2369" s="87"/>
    </row>
    <row r="2370" spans="2:15">
      <c r="B2370" s="83"/>
      <c r="C2370" s="84"/>
      <c r="D2370" s="85"/>
      <c r="E2370" s="85"/>
      <c r="F2370" s="86"/>
      <c r="G2370" s="86"/>
      <c r="H2370" s="87"/>
      <c r="I2370" s="86"/>
      <c r="J2370" s="87"/>
      <c r="K2370" s="86"/>
      <c r="L2370" s="86"/>
      <c r="M2370" s="87"/>
      <c r="N2370" s="86"/>
      <c r="O2370" s="87"/>
    </row>
    <row r="2371" spans="2:15">
      <c r="B2371" s="83"/>
      <c r="C2371" s="84"/>
      <c r="D2371" s="85"/>
      <c r="E2371" s="85"/>
      <c r="F2371" s="86"/>
      <c r="G2371" s="86"/>
      <c r="H2371" s="87"/>
      <c r="I2371" s="86"/>
      <c r="J2371" s="87"/>
      <c r="K2371" s="86"/>
      <c r="L2371" s="86"/>
      <c r="M2371" s="87"/>
      <c r="N2371" s="86"/>
      <c r="O2371" s="87"/>
    </row>
    <row r="2372" spans="2:15">
      <c r="B2372" s="83"/>
      <c r="C2372" s="84"/>
      <c r="D2372" s="85"/>
      <c r="E2372" s="85"/>
      <c r="F2372" s="86"/>
      <c r="G2372" s="86"/>
      <c r="H2372" s="87"/>
      <c r="I2372" s="86"/>
      <c r="J2372" s="87"/>
      <c r="K2372" s="86"/>
      <c r="L2372" s="86"/>
      <c r="M2372" s="87"/>
      <c r="N2372" s="86"/>
      <c r="O2372" s="87"/>
    </row>
    <row r="2373" spans="2:15">
      <c r="B2373" s="83"/>
      <c r="C2373" s="84"/>
      <c r="D2373" s="85"/>
      <c r="E2373" s="85"/>
      <c r="F2373" s="86"/>
      <c r="G2373" s="86"/>
      <c r="H2373" s="87"/>
      <c r="I2373" s="86"/>
      <c r="J2373" s="87"/>
      <c r="K2373" s="86"/>
      <c r="L2373" s="86"/>
      <c r="M2373" s="87"/>
      <c r="N2373" s="86"/>
      <c r="O2373" s="87"/>
    </row>
    <row r="2374" spans="2:15">
      <c r="B2374" s="83"/>
      <c r="C2374" s="84"/>
      <c r="D2374" s="85"/>
      <c r="E2374" s="85"/>
      <c r="F2374" s="86"/>
      <c r="G2374" s="86"/>
      <c r="H2374" s="87"/>
      <c r="I2374" s="86"/>
      <c r="J2374" s="87"/>
      <c r="K2374" s="86"/>
      <c r="L2374" s="86"/>
      <c r="M2374" s="87"/>
      <c r="N2374" s="86"/>
      <c r="O2374" s="87"/>
    </row>
    <row r="2375" spans="2:15">
      <c r="B2375" s="83"/>
      <c r="C2375" s="84"/>
      <c r="D2375" s="85"/>
      <c r="E2375" s="85"/>
      <c r="F2375" s="86"/>
      <c r="G2375" s="86"/>
      <c r="H2375" s="87"/>
      <c r="I2375" s="86"/>
      <c r="J2375" s="87"/>
      <c r="K2375" s="86"/>
      <c r="L2375" s="86"/>
      <c r="M2375" s="87"/>
      <c r="N2375" s="86"/>
      <c r="O2375" s="87"/>
    </row>
    <row r="2376" spans="2:15">
      <c r="B2376" s="83"/>
      <c r="C2376" s="84"/>
      <c r="D2376" s="85"/>
      <c r="E2376" s="85"/>
      <c r="F2376" s="86"/>
      <c r="G2376" s="86"/>
      <c r="H2376" s="87"/>
      <c r="I2376" s="86"/>
      <c r="J2376" s="87"/>
      <c r="K2376" s="86"/>
      <c r="L2376" s="86"/>
      <c r="M2376" s="87"/>
      <c r="N2376" s="86"/>
      <c r="O2376" s="87"/>
    </row>
    <row r="2377" spans="2:15">
      <c r="B2377" s="83"/>
      <c r="C2377" s="84"/>
      <c r="D2377" s="85"/>
      <c r="E2377" s="85"/>
      <c r="F2377" s="86"/>
      <c r="G2377" s="86"/>
      <c r="H2377" s="87"/>
      <c r="I2377" s="86"/>
      <c r="J2377" s="87"/>
      <c r="K2377" s="86"/>
      <c r="L2377" s="86"/>
      <c r="M2377" s="87"/>
      <c r="N2377" s="86"/>
      <c r="O2377" s="87"/>
    </row>
    <row r="2378" spans="2:15">
      <c r="B2378" s="83"/>
      <c r="C2378" s="84"/>
      <c r="D2378" s="85"/>
      <c r="E2378" s="85"/>
      <c r="F2378" s="86"/>
      <c r="G2378" s="86"/>
      <c r="H2378" s="87"/>
      <c r="I2378" s="86"/>
      <c r="J2378" s="87"/>
      <c r="K2378" s="86"/>
      <c r="L2378" s="86"/>
      <c r="M2378" s="87"/>
      <c r="N2378" s="86"/>
      <c r="O2378" s="87"/>
    </row>
    <row r="2379" spans="2:15">
      <c r="B2379" s="83"/>
      <c r="C2379" s="84"/>
      <c r="D2379" s="85"/>
      <c r="E2379" s="85"/>
      <c r="F2379" s="86"/>
      <c r="G2379" s="86"/>
      <c r="H2379" s="87"/>
      <c r="I2379" s="86"/>
      <c r="J2379" s="87"/>
      <c r="K2379" s="86"/>
      <c r="L2379" s="86"/>
      <c r="M2379" s="87"/>
      <c r="N2379" s="86"/>
      <c r="O2379" s="87"/>
    </row>
    <row r="2380" spans="2:15">
      <c r="B2380" s="83"/>
      <c r="C2380" s="84"/>
      <c r="D2380" s="85"/>
      <c r="E2380" s="85"/>
      <c r="F2380" s="86"/>
      <c r="G2380" s="86"/>
      <c r="H2380" s="87"/>
      <c r="I2380" s="86"/>
      <c r="J2380" s="87"/>
      <c r="K2380" s="86"/>
      <c r="L2380" s="86"/>
      <c r="M2380" s="87"/>
      <c r="N2380" s="86"/>
      <c r="O2380" s="87"/>
    </row>
    <row r="2381" spans="2:15">
      <c r="B2381" s="83"/>
      <c r="C2381" s="84"/>
      <c r="D2381" s="85"/>
      <c r="E2381" s="85"/>
      <c r="F2381" s="86"/>
      <c r="G2381" s="86"/>
      <c r="H2381" s="87"/>
      <c r="I2381" s="86"/>
      <c r="J2381" s="87"/>
      <c r="K2381" s="86"/>
      <c r="L2381" s="86"/>
      <c r="M2381" s="87"/>
      <c r="N2381" s="86"/>
      <c r="O2381" s="87"/>
    </row>
    <row r="2382" spans="2:15">
      <c r="B2382" s="83"/>
      <c r="C2382" s="84"/>
      <c r="D2382" s="85"/>
      <c r="E2382" s="85"/>
      <c r="F2382" s="86"/>
      <c r="G2382" s="86"/>
      <c r="H2382" s="87"/>
      <c r="I2382" s="86"/>
      <c r="J2382" s="87"/>
      <c r="K2382" s="86"/>
      <c r="L2382" s="86"/>
      <c r="M2382" s="87"/>
      <c r="N2382" s="86"/>
      <c r="O2382" s="87"/>
    </row>
    <row r="2383" spans="2:15">
      <c r="B2383" s="83"/>
      <c r="C2383" s="84"/>
      <c r="D2383" s="85"/>
      <c r="E2383" s="85"/>
      <c r="F2383" s="86"/>
      <c r="G2383" s="86"/>
      <c r="H2383" s="87"/>
      <c r="I2383" s="86"/>
      <c r="J2383" s="87"/>
      <c r="K2383" s="86"/>
      <c r="L2383" s="86"/>
      <c r="M2383" s="87"/>
      <c r="N2383" s="86"/>
      <c r="O2383" s="87"/>
    </row>
    <row r="2384" spans="2:15">
      <c r="B2384" s="83"/>
      <c r="C2384" s="84"/>
      <c r="D2384" s="85"/>
      <c r="E2384" s="85"/>
      <c r="F2384" s="86"/>
      <c r="G2384" s="86"/>
      <c r="H2384" s="87"/>
      <c r="I2384" s="86"/>
      <c r="J2384" s="87"/>
      <c r="K2384" s="86"/>
      <c r="L2384" s="86"/>
      <c r="M2384" s="87"/>
      <c r="N2384" s="86"/>
      <c r="O2384" s="87"/>
    </row>
    <row r="2385" spans="2:15">
      <c r="B2385" s="83"/>
      <c r="C2385" s="84"/>
      <c r="D2385" s="85"/>
      <c r="E2385" s="85"/>
      <c r="F2385" s="86"/>
      <c r="G2385" s="86"/>
      <c r="H2385" s="87"/>
      <c r="I2385" s="86"/>
      <c r="J2385" s="87"/>
      <c r="K2385" s="86"/>
      <c r="L2385" s="86"/>
      <c r="M2385" s="87"/>
      <c r="N2385" s="86"/>
      <c r="O2385" s="87"/>
    </row>
    <row r="2386" spans="2:15">
      <c r="B2386" s="83"/>
      <c r="C2386" s="84"/>
      <c r="D2386" s="85"/>
      <c r="E2386" s="85"/>
      <c r="F2386" s="86"/>
      <c r="G2386" s="86"/>
      <c r="H2386" s="87"/>
      <c r="I2386" s="86"/>
      <c r="J2386" s="87"/>
      <c r="K2386" s="86"/>
      <c r="L2386" s="86"/>
      <c r="M2386" s="87"/>
      <c r="N2386" s="86"/>
      <c r="O2386" s="87"/>
    </row>
    <row r="2387" spans="2:15">
      <c r="B2387" s="83"/>
      <c r="C2387" s="84"/>
      <c r="D2387" s="85"/>
      <c r="E2387" s="85"/>
      <c r="F2387" s="86"/>
      <c r="G2387" s="86"/>
      <c r="H2387" s="87"/>
      <c r="I2387" s="86"/>
      <c r="J2387" s="87"/>
      <c r="K2387" s="86"/>
      <c r="L2387" s="86"/>
      <c r="M2387" s="87"/>
      <c r="N2387" s="86"/>
      <c r="O2387" s="87"/>
    </row>
    <row r="2388" spans="2:15">
      <c r="B2388" s="83"/>
      <c r="C2388" s="84"/>
      <c r="D2388" s="85"/>
      <c r="E2388" s="85"/>
      <c r="F2388" s="86"/>
      <c r="G2388" s="86"/>
      <c r="H2388" s="87"/>
      <c r="I2388" s="86"/>
      <c r="J2388" s="87"/>
      <c r="K2388" s="86"/>
      <c r="L2388" s="86"/>
      <c r="M2388" s="87"/>
      <c r="N2388" s="86"/>
      <c r="O2388" s="87"/>
    </row>
    <row r="2389" spans="2:15">
      <c r="B2389" s="83"/>
      <c r="C2389" s="84"/>
      <c r="D2389" s="85"/>
      <c r="E2389" s="85"/>
      <c r="F2389" s="86"/>
      <c r="G2389" s="86"/>
      <c r="H2389" s="87"/>
      <c r="I2389" s="86"/>
      <c r="J2389" s="87"/>
      <c r="K2389" s="86"/>
      <c r="L2389" s="86"/>
      <c r="M2389" s="87"/>
      <c r="N2389" s="86"/>
      <c r="O2389" s="87"/>
    </row>
    <row r="2390" spans="2:15">
      <c r="B2390" s="83"/>
      <c r="C2390" s="84"/>
      <c r="D2390" s="85"/>
      <c r="E2390" s="85"/>
      <c r="F2390" s="86"/>
      <c r="G2390" s="86"/>
      <c r="H2390" s="87"/>
      <c r="I2390" s="86"/>
      <c r="J2390" s="87"/>
      <c r="K2390" s="86"/>
      <c r="L2390" s="86"/>
      <c r="M2390" s="87"/>
      <c r="N2390" s="86"/>
      <c r="O2390" s="87"/>
    </row>
    <row r="2391" spans="2:15">
      <c r="B2391" s="83"/>
      <c r="C2391" s="84"/>
      <c r="D2391" s="85"/>
      <c r="E2391" s="85"/>
      <c r="F2391" s="86"/>
      <c r="G2391" s="86"/>
      <c r="H2391" s="87"/>
      <c r="I2391" s="86"/>
      <c r="J2391" s="87"/>
      <c r="K2391" s="86"/>
      <c r="L2391" s="86"/>
      <c r="M2391" s="87"/>
      <c r="N2391" s="86"/>
      <c r="O2391" s="87"/>
    </row>
    <row r="2392" spans="2:15">
      <c r="B2392" s="83"/>
      <c r="C2392" s="84"/>
      <c r="D2392" s="85"/>
      <c r="E2392" s="85"/>
      <c r="F2392" s="86"/>
      <c r="G2392" s="86"/>
      <c r="H2392" s="87"/>
      <c r="I2392" s="86"/>
      <c r="J2392" s="87"/>
      <c r="K2392" s="86"/>
      <c r="L2392" s="86"/>
      <c r="M2392" s="87"/>
      <c r="N2392" s="86"/>
      <c r="O2392" s="87"/>
    </row>
    <row r="2393" spans="2:15">
      <c r="B2393" s="83"/>
      <c r="C2393" s="84"/>
      <c r="D2393" s="85"/>
      <c r="E2393" s="85"/>
      <c r="F2393" s="86"/>
      <c r="G2393" s="86"/>
      <c r="H2393" s="87"/>
      <c r="I2393" s="86"/>
      <c r="J2393" s="87"/>
      <c r="K2393" s="86"/>
      <c r="L2393" s="86"/>
      <c r="M2393" s="87"/>
      <c r="N2393" s="86"/>
      <c r="O2393" s="87"/>
    </row>
    <row r="2394" spans="2:15">
      <c r="B2394" s="83"/>
      <c r="C2394" s="84"/>
      <c r="D2394" s="85"/>
      <c r="E2394" s="85"/>
      <c r="F2394" s="86"/>
      <c r="G2394" s="86"/>
      <c r="H2394" s="87"/>
      <c r="I2394" s="86"/>
      <c r="J2394" s="87"/>
      <c r="K2394" s="86"/>
      <c r="L2394" s="86"/>
      <c r="M2394" s="87"/>
      <c r="N2394" s="86"/>
      <c r="O2394" s="87"/>
    </row>
    <row r="2395" spans="2:15">
      <c r="B2395" s="83"/>
      <c r="C2395" s="84"/>
      <c r="D2395" s="85"/>
      <c r="E2395" s="85"/>
      <c r="F2395" s="86"/>
      <c r="G2395" s="86"/>
      <c r="H2395" s="87"/>
      <c r="I2395" s="86"/>
      <c r="J2395" s="87"/>
      <c r="K2395" s="86"/>
      <c r="L2395" s="86"/>
      <c r="M2395" s="87"/>
      <c r="N2395" s="86"/>
      <c r="O2395" s="87"/>
    </row>
    <row r="2396" spans="2:15">
      <c r="B2396" s="83"/>
      <c r="C2396" s="84"/>
      <c r="D2396" s="85"/>
      <c r="E2396" s="85"/>
      <c r="F2396" s="86"/>
      <c r="G2396" s="86"/>
      <c r="H2396" s="87"/>
      <c r="I2396" s="86"/>
      <c r="J2396" s="87"/>
      <c r="K2396" s="86"/>
      <c r="L2396" s="86"/>
      <c r="M2396" s="87"/>
      <c r="N2396" s="86"/>
      <c r="O2396" s="87"/>
    </row>
    <row r="2397" spans="2:15">
      <c r="B2397" s="83"/>
      <c r="C2397" s="84"/>
      <c r="D2397" s="85"/>
      <c r="E2397" s="85"/>
      <c r="F2397" s="86"/>
      <c r="G2397" s="86"/>
      <c r="H2397" s="87"/>
      <c r="I2397" s="86"/>
      <c r="J2397" s="87"/>
      <c r="K2397" s="86"/>
      <c r="L2397" s="86"/>
      <c r="M2397" s="87"/>
      <c r="N2397" s="86"/>
      <c r="O2397" s="87"/>
    </row>
    <row r="2398" spans="2:15">
      <c r="B2398" s="83"/>
      <c r="C2398" s="84"/>
      <c r="D2398" s="85"/>
      <c r="E2398" s="85"/>
      <c r="F2398" s="86"/>
      <c r="G2398" s="86"/>
      <c r="H2398" s="87"/>
      <c r="I2398" s="86"/>
      <c r="J2398" s="87"/>
      <c r="K2398" s="86"/>
      <c r="L2398" s="86"/>
      <c r="M2398" s="87"/>
      <c r="N2398" s="86"/>
      <c r="O2398" s="87"/>
    </row>
    <row r="2399" spans="2:15">
      <c r="B2399" s="83"/>
      <c r="C2399" s="84"/>
      <c r="D2399" s="85"/>
      <c r="E2399" s="85"/>
      <c r="F2399" s="86"/>
      <c r="G2399" s="86"/>
      <c r="H2399" s="87"/>
      <c r="I2399" s="86"/>
      <c r="J2399" s="87"/>
      <c r="K2399" s="86"/>
      <c r="L2399" s="86"/>
      <c r="M2399" s="87"/>
      <c r="N2399" s="86"/>
      <c r="O2399" s="87"/>
    </row>
    <row r="2400" spans="2:15">
      <c r="B2400" s="83"/>
      <c r="C2400" s="84"/>
      <c r="D2400" s="85"/>
      <c r="E2400" s="85"/>
      <c r="F2400" s="86"/>
      <c r="G2400" s="86"/>
      <c r="H2400" s="87"/>
      <c r="I2400" s="86"/>
      <c r="J2400" s="87"/>
      <c r="K2400" s="86"/>
      <c r="L2400" s="86"/>
      <c r="M2400" s="87"/>
      <c r="N2400" s="86"/>
      <c r="O2400" s="87"/>
    </row>
    <row r="2401" spans="2:15">
      <c r="B2401" s="83"/>
      <c r="C2401" s="84"/>
      <c r="D2401" s="85"/>
      <c r="E2401" s="85"/>
      <c r="F2401" s="86"/>
      <c r="G2401" s="86"/>
      <c r="H2401" s="87"/>
      <c r="I2401" s="86"/>
      <c r="J2401" s="87"/>
      <c r="K2401" s="86"/>
      <c r="L2401" s="86"/>
      <c r="M2401" s="87"/>
      <c r="N2401" s="86"/>
      <c r="O2401" s="87"/>
    </row>
    <row r="2402" spans="2:15">
      <c r="B2402" s="83"/>
      <c r="C2402" s="84"/>
      <c r="D2402" s="85"/>
      <c r="E2402" s="85"/>
      <c r="F2402" s="86"/>
      <c r="G2402" s="86"/>
      <c r="H2402" s="87"/>
      <c r="I2402" s="86"/>
      <c r="J2402" s="87"/>
      <c r="K2402" s="86"/>
      <c r="L2402" s="86"/>
      <c r="M2402" s="87"/>
      <c r="N2402" s="86"/>
      <c r="O2402" s="87"/>
    </row>
    <row r="2403" spans="2:15">
      <c r="B2403" s="83"/>
      <c r="C2403" s="84"/>
      <c r="D2403" s="85"/>
      <c r="E2403" s="85"/>
      <c r="F2403" s="86"/>
      <c r="G2403" s="86"/>
      <c r="H2403" s="87"/>
      <c r="I2403" s="86"/>
      <c r="J2403" s="87"/>
      <c r="K2403" s="86"/>
      <c r="L2403" s="86"/>
      <c r="M2403" s="87"/>
      <c r="N2403" s="86"/>
      <c r="O2403" s="87"/>
    </row>
    <row r="2404" spans="2:15">
      <c r="B2404" s="83"/>
      <c r="C2404" s="84"/>
      <c r="D2404" s="85"/>
      <c r="E2404" s="85"/>
      <c r="F2404" s="86"/>
      <c r="G2404" s="86"/>
      <c r="H2404" s="87"/>
      <c r="I2404" s="86"/>
      <c r="J2404" s="87"/>
      <c r="K2404" s="86"/>
      <c r="L2404" s="86"/>
      <c r="M2404" s="87"/>
      <c r="N2404" s="86"/>
      <c r="O2404" s="87"/>
    </row>
    <row r="2405" spans="2:15">
      <c r="B2405" s="83"/>
      <c r="C2405" s="84"/>
      <c r="D2405" s="85"/>
      <c r="E2405" s="85"/>
      <c r="F2405" s="86"/>
      <c r="G2405" s="86"/>
      <c r="H2405" s="87"/>
      <c r="I2405" s="86"/>
      <c r="J2405" s="87"/>
      <c r="K2405" s="86"/>
      <c r="L2405" s="86"/>
      <c r="M2405" s="87"/>
      <c r="N2405" s="86"/>
      <c r="O2405" s="87"/>
    </row>
    <row r="2406" spans="2:15">
      <c r="B2406" s="83"/>
      <c r="C2406" s="84"/>
      <c r="D2406" s="85"/>
      <c r="E2406" s="85"/>
      <c r="F2406" s="86"/>
      <c r="G2406" s="86"/>
      <c r="H2406" s="87"/>
      <c r="I2406" s="86"/>
      <c r="J2406" s="87"/>
      <c r="K2406" s="86"/>
      <c r="L2406" s="86"/>
      <c r="M2406" s="87"/>
      <c r="N2406" s="86"/>
      <c r="O2406" s="87"/>
    </row>
    <row r="2407" spans="2:15">
      <c r="B2407" s="83"/>
      <c r="C2407" s="84"/>
      <c r="D2407" s="85"/>
      <c r="E2407" s="85"/>
      <c r="F2407" s="86"/>
      <c r="G2407" s="86"/>
      <c r="H2407" s="87"/>
      <c r="I2407" s="86"/>
      <c r="J2407" s="87"/>
      <c r="K2407" s="86"/>
      <c r="L2407" s="86"/>
      <c r="M2407" s="87"/>
      <c r="N2407" s="86"/>
      <c r="O2407" s="87"/>
    </row>
    <row r="2408" spans="2:15">
      <c r="B2408" s="83"/>
      <c r="C2408" s="84"/>
      <c r="D2408" s="85"/>
      <c r="E2408" s="85"/>
      <c r="F2408" s="86"/>
      <c r="G2408" s="86"/>
      <c r="H2408" s="87"/>
      <c r="I2408" s="86"/>
      <c r="J2408" s="87"/>
      <c r="K2408" s="86"/>
      <c r="L2408" s="86"/>
      <c r="M2408" s="87"/>
      <c r="N2408" s="86"/>
      <c r="O2408" s="87"/>
    </row>
    <row r="2409" spans="2:15">
      <c r="B2409" s="83"/>
      <c r="C2409" s="84"/>
      <c r="D2409" s="85"/>
      <c r="E2409" s="85"/>
      <c r="F2409" s="86"/>
      <c r="G2409" s="86"/>
      <c r="H2409" s="87"/>
      <c r="I2409" s="86"/>
      <c r="J2409" s="87"/>
      <c r="K2409" s="86"/>
      <c r="L2409" s="86"/>
      <c r="M2409" s="87"/>
      <c r="N2409" s="86"/>
      <c r="O2409" s="87"/>
    </row>
    <row r="2410" spans="2:15">
      <c r="B2410" s="83"/>
      <c r="C2410" s="84"/>
      <c r="D2410" s="85"/>
      <c r="E2410" s="85"/>
      <c r="F2410" s="86"/>
      <c r="G2410" s="86"/>
      <c r="H2410" s="87"/>
      <c r="I2410" s="86"/>
      <c r="J2410" s="87"/>
      <c r="K2410" s="86"/>
      <c r="L2410" s="86"/>
      <c r="M2410" s="87"/>
      <c r="N2410" s="86"/>
      <c r="O2410" s="87"/>
    </row>
    <row r="2411" spans="2:15">
      <c r="B2411" s="83"/>
      <c r="C2411" s="84"/>
      <c r="D2411" s="85"/>
      <c r="E2411" s="85"/>
      <c r="F2411" s="86"/>
      <c r="G2411" s="86"/>
      <c r="H2411" s="87"/>
      <c r="I2411" s="86"/>
      <c r="J2411" s="87"/>
      <c r="K2411" s="86"/>
      <c r="L2411" s="86"/>
      <c r="M2411" s="87"/>
      <c r="N2411" s="86"/>
      <c r="O2411" s="87"/>
    </row>
    <row r="2412" spans="2:15">
      <c r="B2412" s="83"/>
      <c r="C2412" s="84"/>
      <c r="D2412" s="85"/>
      <c r="E2412" s="85"/>
      <c r="F2412" s="86"/>
      <c r="G2412" s="86"/>
      <c r="H2412" s="87"/>
      <c r="I2412" s="86"/>
      <c r="J2412" s="87"/>
      <c r="K2412" s="86"/>
      <c r="L2412" s="86"/>
      <c r="M2412" s="87"/>
      <c r="N2412" s="86"/>
      <c r="O2412" s="87"/>
    </row>
    <row r="2413" spans="2:15">
      <c r="B2413" s="83"/>
      <c r="C2413" s="84"/>
      <c r="D2413" s="85"/>
      <c r="E2413" s="85"/>
      <c r="F2413" s="86"/>
      <c r="G2413" s="86"/>
      <c r="H2413" s="87"/>
      <c r="I2413" s="86"/>
      <c r="J2413" s="87"/>
      <c r="K2413" s="86"/>
      <c r="L2413" s="86"/>
      <c r="M2413" s="87"/>
      <c r="N2413" s="86"/>
      <c r="O2413" s="87"/>
    </row>
    <row r="2414" spans="2:15">
      <c r="B2414" s="83"/>
      <c r="C2414" s="84"/>
      <c r="D2414" s="85"/>
      <c r="E2414" s="85"/>
      <c r="F2414" s="86"/>
      <c r="G2414" s="86"/>
      <c r="H2414" s="87"/>
      <c r="I2414" s="86"/>
      <c r="J2414" s="87"/>
      <c r="K2414" s="86"/>
      <c r="L2414" s="86"/>
      <c r="M2414" s="87"/>
      <c r="N2414" s="86"/>
      <c r="O2414" s="87"/>
    </row>
    <row r="2415" spans="2:15">
      <c r="B2415" s="83"/>
      <c r="C2415" s="84"/>
      <c r="D2415" s="85"/>
      <c r="E2415" s="85"/>
      <c r="F2415" s="86"/>
      <c r="G2415" s="86"/>
      <c r="H2415" s="87"/>
      <c r="I2415" s="86"/>
      <c r="J2415" s="87"/>
      <c r="K2415" s="86"/>
      <c r="L2415" s="86"/>
      <c r="M2415" s="87"/>
      <c r="N2415" s="86"/>
      <c r="O2415" s="87"/>
    </row>
    <row r="2416" spans="2:15">
      <c r="B2416" s="83"/>
      <c r="C2416" s="84"/>
      <c r="D2416" s="85"/>
      <c r="E2416" s="85"/>
      <c r="F2416" s="86"/>
      <c r="G2416" s="86"/>
      <c r="H2416" s="87"/>
      <c r="I2416" s="86"/>
      <c r="J2416" s="87"/>
      <c r="K2416" s="86"/>
      <c r="L2416" s="86"/>
      <c r="M2416" s="87"/>
      <c r="N2416" s="86"/>
      <c r="O2416" s="87"/>
    </row>
    <row r="2417" spans="2:15">
      <c r="B2417" s="83"/>
      <c r="C2417" s="84"/>
      <c r="D2417" s="85"/>
      <c r="E2417" s="85"/>
      <c r="F2417" s="86"/>
      <c r="G2417" s="86"/>
      <c r="H2417" s="87"/>
      <c r="I2417" s="86"/>
      <c r="J2417" s="87"/>
      <c r="K2417" s="86"/>
      <c r="L2417" s="86"/>
      <c r="M2417" s="87"/>
      <c r="N2417" s="86"/>
      <c r="O2417" s="87"/>
    </row>
    <row r="2418" spans="2:15">
      <c r="B2418" s="83"/>
      <c r="C2418" s="84"/>
      <c r="D2418" s="85"/>
      <c r="E2418" s="85"/>
      <c r="F2418" s="86"/>
      <c r="G2418" s="86"/>
      <c r="H2418" s="87"/>
      <c r="I2418" s="86"/>
      <c r="J2418" s="87"/>
      <c r="K2418" s="86"/>
      <c r="L2418" s="86"/>
      <c r="M2418" s="87"/>
      <c r="N2418" s="86"/>
      <c r="O2418" s="87"/>
    </row>
    <row r="2419" spans="2:15">
      <c r="B2419" s="83"/>
      <c r="C2419" s="84"/>
      <c r="D2419" s="85"/>
      <c r="E2419" s="85"/>
      <c r="F2419" s="86"/>
      <c r="G2419" s="86"/>
      <c r="H2419" s="87"/>
      <c r="I2419" s="86"/>
      <c r="J2419" s="87"/>
      <c r="K2419" s="86"/>
      <c r="L2419" s="86"/>
      <c r="M2419" s="87"/>
      <c r="N2419" s="86"/>
      <c r="O2419" s="87"/>
    </row>
    <row r="2420" spans="2:15">
      <c r="B2420" s="83"/>
      <c r="C2420" s="84"/>
      <c r="D2420" s="85"/>
      <c r="E2420" s="85"/>
      <c r="F2420" s="86"/>
      <c r="G2420" s="86"/>
      <c r="H2420" s="87"/>
      <c r="I2420" s="86"/>
      <c r="J2420" s="87"/>
      <c r="K2420" s="86"/>
      <c r="L2420" s="86"/>
      <c r="M2420" s="87"/>
      <c r="N2420" s="86"/>
      <c r="O2420" s="87"/>
    </row>
    <row r="2421" spans="2:15">
      <c r="B2421" s="83"/>
      <c r="C2421" s="84"/>
      <c r="D2421" s="85"/>
      <c r="E2421" s="85"/>
      <c r="F2421" s="86"/>
      <c r="G2421" s="86"/>
      <c r="H2421" s="87"/>
      <c r="I2421" s="86"/>
      <c r="J2421" s="87"/>
      <c r="K2421" s="86"/>
      <c r="L2421" s="86"/>
      <c r="M2421" s="87"/>
      <c r="N2421" s="86"/>
      <c r="O2421" s="87"/>
    </row>
    <row r="2422" spans="2:15">
      <c r="B2422" s="83"/>
      <c r="C2422" s="84"/>
      <c r="D2422" s="85"/>
      <c r="E2422" s="85"/>
      <c r="F2422" s="86"/>
      <c r="G2422" s="86"/>
      <c r="H2422" s="87"/>
      <c r="I2422" s="86"/>
      <c r="J2422" s="87"/>
      <c r="K2422" s="86"/>
      <c r="L2422" s="86"/>
      <c r="M2422" s="87"/>
      <c r="N2422" s="86"/>
      <c r="O2422" s="87"/>
    </row>
    <row r="2423" spans="2:15">
      <c r="B2423" s="83"/>
      <c r="C2423" s="84"/>
      <c r="D2423" s="85"/>
      <c r="E2423" s="85"/>
      <c r="F2423" s="86"/>
      <c r="G2423" s="86"/>
      <c r="H2423" s="87"/>
      <c r="I2423" s="86"/>
      <c r="J2423" s="87"/>
      <c r="K2423" s="86"/>
      <c r="L2423" s="86"/>
      <c r="M2423" s="87"/>
      <c r="N2423" s="86"/>
      <c r="O2423" s="87"/>
    </row>
    <row r="2424" spans="2:15">
      <c r="B2424" s="83"/>
      <c r="C2424" s="84"/>
      <c r="D2424" s="85"/>
      <c r="E2424" s="85"/>
      <c r="F2424" s="86"/>
      <c r="G2424" s="86"/>
      <c r="H2424" s="87"/>
      <c r="I2424" s="86"/>
      <c r="J2424" s="87"/>
      <c r="K2424" s="86"/>
      <c r="L2424" s="86"/>
      <c r="M2424" s="87"/>
      <c r="N2424" s="86"/>
      <c r="O2424" s="87"/>
    </row>
    <row r="2425" spans="2:15">
      <c r="B2425" s="83"/>
      <c r="C2425" s="84"/>
      <c r="D2425" s="85"/>
      <c r="E2425" s="85"/>
      <c r="F2425" s="86"/>
      <c r="G2425" s="86"/>
      <c r="H2425" s="87"/>
      <c r="I2425" s="86"/>
      <c r="J2425" s="87"/>
      <c r="K2425" s="86"/>
      <c r="L2425" s="86"/>
      <c r="M2425" s="87"/>
      <c r="N2425" s="86"/>
      <c r="O2425" s="87"/>
    </row>
    <row r="2426" spans="2:15">
      <c r="B2426" s="83"/>
      <c r="C2426" s="84"/>
      <c r="D2426" s="85"/>
      <c r="E2426" s="85"/>
      <c r="F2426" s="86"/>
      <c r="G2426" s="86"/>
      <c r="H2426" s="87"/>
      <c r="I2426" s="86"/>
      <c r="J2426" s="87"/>
      <c r="K2426" s="86"/>
      <c r="L2426" s="86"/>
      <c r="M2426" s="87"/>
      <c r="N2426" s="86"/>
      <c r="O2426" s="87"/>
    </row>
    <row r="2427" spans="2:15">
      <c r="B2427" s="83"/>
      <c r="C2427" s="84"/>
      <c r="D2427" s="85"/>
      <c r="E2427" s="85"/>
      <c r="F2427" s="86"/>
      <c r="G2427" s="86"/>
      <c r="H2427" s="87"/>
      <c r="I2427" s="86"/>
      <c r="J2427" s="87"/>
      <c r="K2427" s="86"/>
      <c r="L2427" s="86"/>
      <c r="M2427" s="87"/>
      <c r="N2427" s="86"/>
      <c r="O2427" s="87"/>
    </row>
    <row r="2428" spans="2:15">
      <c r="B2428" s="83"/>
      <c r="C2428" s="84"/>
      <c r="D2428" s="85"/>
      <c r="E2428" s="85"/>
      <c r="F2428" s="86"/>
      <c r="G2428" s="86"/>
      <c r="H2428" s="87"/>
      <c r="I2428" s="86"/>
      <c r="J2428" s="87"/>
      <c r="K2428" s="86"/>
      <c r="L2428" s="86"/>
      <c r="M2428" s="87"/>
      <c r="N2428" s="86"/>
      <c r="O2428" s="87"/>
    </row>
    <row r="2429" spans="2:15">
      <c r="B2429" s="83"/>
      <c r="C2429" s="84"/>
      <c r="D2429" s="85"/>
      <c r="E2429" s="85"/>
      <c r="F2429" s="86"/>
      <c r="G2429" s="86"/>
      <c r="H2429" s="87"/>
      <c r="I2429" s="86"/>
      <c r="J2429" s="87"/>
      <c r="K2429" s="86"/>
      <c r="L2429" s="86"/>
      <c r="M2429" s="87"/>
      <c r="N2429" s="86"/>
      <c r="O2429" s="87"/>
    </row>
    <row r="2430" spans="2:15">
      <c r="B2430" s="83"/>
      <c r="C2430" s="84"/>
      <c r="D2430" s="85"/>
      <c r="E2430" s="85"/>
      <c r="F2430" s="86"/>
      <c r="G2430" s="86"/>
      <c r="H2430" s="87"/>
      <c r="I2430" s="86"/>
      <c r="J2430" s="87"/>
      <c r="K2430" s="86"/>
      <c r="L2430" s="86"/>
      <c r="M2430" s="87"/>
      <c r="N2430" s="86"/>
      <c r="O2430" s="87"/>
    </row>
    <row r="2431" spans="2:15">
      <c r="B2431" s="83"/>
      <c r="C2431" s="84"/>
      <c r="D2431" s="85"/>
      <c r="E2431" s="85"/>
      <c r="F2431" s="86"/>
      <c r="G2431" s="86"/>
      <c r="H2431" s="87"/>
      <c r="I2431" s="86"/>
      <c r="J2431" s="87"/>
      <c r="K2431" s="86"/>
      <c r="L2431" s="86"/>
      <c r="M2431" s="87"/>
      <c r="N2431" s="86"/>
      <c r="O2431" s="87"/>
    </row>
    <row r="2432" spans="2:15">
      <c r="B2432" s="83"/>
      <c r="C2432" s="84"/>
      <c r="D2432" s="85"/>
      <c r="E2432" s="85"/>
      <c r="F2432" s="86"/>
      <c r="G2432" s="86"/>
      <c r="H2432" s="87"/>
      <c r="I2432" s="86"/>
      <c r="J2432" s="87"/>
      <c r="K2432" s="86"/>
      <c r="L2432" s="86"/>
      <c r="M2432" s="87"/>
      <c r="N2432" s="86"/>
      <c r="O2432" s="87"/>
    </row>
    <row r="2433" spans="2:15">
      <c r="B2433" s="83"/>
      <c r="C2433" s="84"/>
      <c r="D2433" s="85"/>
      <c r="E2433" s="85"/>
      <c r="F2433" s="86"/>
      <c r="G2433" s="86"/>
      <c r="H2433" s="87"/>
      <c r="I2433" s="86"/>
      <c r="J2433" s="87"/>
      <c r="K2433" s="86"/>
      <c r="L2433" s="86"/>
      <c r="M2433" s="87"/>
      <c r="N2433" s="86"/>
      <c r="O2433" s="87"/>
    </row>
    <row r="2434" spans="2:15">
      <c r="B2434" s="83"/>
      <c r="C2434" s="84"/>
      <c r="D2434" s="85"/>
      <c r="E2434" s="85"/>
      <c r="F2434" s="86"/>
      <c r="G2434" s="86"/>
      <c r="H2434" s="87"/>
      <c r="I2434" s="86"/>
      <c r="J2434" s="87"/>
      <c r="K2434" s="86"/>
      <c r="L2434" s="86"/>
      <c r="M2434" s="87"/>
      <c r="N2434" s="86"/>
      <c r="O2434" s="87"/>
    </row>
    <row r="2435" spans="2:15">
      <c r="B2435" s="83"/>
      <c r="C2435" s="84"/>
      <c r="D2435" s="85"/>
      <c r="E2435" s="85"/>
      <c r="F2435" s="86"/>
      <c r="G2435" s="86"/>
      <c r="H2435" s="87"/>
      <c r="I2435" s="86"/>
      <c r="J2435" s="87"/>
      <c r="K2435" s="86"/>
      <c r="L2435" s="86"/>
      <c r="M2435" s="87"/>
      <c r="N2435" s="86"/>
      <c r="O2435" s="87"/>
    </row>
    <row r="2436" spans="2:15">
      <c r="B2436" s="83"/>
      <c r="C2436" s="84"/>
      <c r="D2436" s="85"/>
      <c r="E2436" s="85"/>
      <c r="F2436" s="86"/>
      <c r="G2436" s="86"/>
      <c r="H2436" s="87"/>
      <c r="I2436" s="86"/>
      <c r="J2436" s="87"/>
      <c r="K2436" s="86"/>
      <c r="L2436" s="86"/>
      <c r="M2436" s="87"/>
      <c r="N2436" s="86"/>
      <c r="O2436" s="87"/>
    </row>
    <row r="2437" spans="2:15">
      <c r="B2437" s="83"/>
      <c r="C2437" s="84"/>
      <c r="D2437" s="85"/>
      <c r="E2437" s="85"/>
      <c r="F2437" s="86"/>
      <c r="G2437" s="86"/>
      <c r="H2437" s="87"/>
      <c r="I2437" s="86"/>
      <c r="J2437" s="87"/>
      <c r="K2437" s="86"/>
      <c r="L2437" s="86"/>
      <c r="M2437" s="87"/>
      <c r="N2437" s="86"/>
      <c r="O2437" s="87"/>
    </row>
    <row r="2438" spans="2:15">
      <c r="B2438" s="83"/>
      <c r="C2438" s="84"/>
      <c r="D2438" s="85"/>
      <c r="E2438" s="85"/>
      <c r="F2438" s="86"/>
      <c r="G2438" s="86"/>
      <c r="H2438" s="87"/>
      <c r="I2438" s="86"/>
      <c r="J2438" s="87"/>
      <c r="K2438" s="86"/>
      <c r="L2438" s="86"/>
      <c r="M2438" s="87"/>
      <c r="N2438" s="86"/>
      <c r="O2438" s="87"/>
    </row>
    <row r="2439" spans="2:15">
      <c r="B2439" s="83"/>
      <c r="C2439" s="84"/>
      <c r="D2439" s="85"/>
      <c r="E2439" s="85"/>
      <c r="F2439" s="86"/>
      <c r="G2439" s="86"/>
      <c r="H2439" s="87"/>
      <c r="I2439" s="86"/>
      <c r="J2439" s="87"/>
      <c r="K2439" s="86"/>
      <c r="L2439" s="86"/>
      <c r="M2439" s="87"/>
      <c r="N2439" s="86"/>
      <c r="O2439" s="87"/>
    </row>
    <row r="2440" spans="2:15">
      <c r="B2440" s="83"/>
      <c r="C2440" s="84"/>
      <c r="D2440" s="85"/>
      <c r="E2440" s="85"/>
      <c r="F2440" s="86"/>
      <c r="G2440" s="86"/>
      <c r="H2440" s="87"/>
      <c r="I2440" s="86"/>
      <c r="J2440" s="87"/>
      <c r="K2440" s="86"/>
      <c r="L2440" s="86"/>
      <c r="M2440" s="87"/>
      <c r="N2440" s="86"/>
      <c r="O2440" s="87"/>
    </row>
    <row r="2441" spans="2:15">
      <c r="B2441" s="83"/>
      <c r="C2441" s="84"/>
      <c r="D2441" s="85"/>
      <c r="E2441" s="85"/>
      <c r="F2441" s="86"/>
      <c r="G2441" s="86"/>
      <c r="H2441" s="87"/>
      <c r="I2441" s="86"/>
      <c r="J2441" s="87"/>
      <c r="K2441" s="86"/>
      <c r="L2441" s="86"/>
      <c r="M2441" s="87"/>
      <c r="N2441" s="86"/>
      <c r="O2441" s="87"/>
    </row>
    <row r="2442" spans="2:15">
      <c r="B2442" s="83"/>
      <c r="C2442" s="84"/>
      <c r="D2442" s="85"/>
      <c r="E2442" s="85"/>
      <c r="F2442" s="86"/>
      <c r="G2442" s="86"/>
      <c r="H2442" s="87"/>
      <c r="I2442" s="86"/>
      <c r="J2442" s="87"/>
      <c r="K2442" s="86"/>
      <c r="L2442" s="86"/>
      <c r="M2442" s="87"/>
      <c r="N2442" s="86"/>
      <c r="O2442" s="87"/>
    </row>
    <row r="2443" spans="2:15">
      <c r="B2443" s="83"/>
      <c r="C2443" s="84"/>
      <c r="D2443" s="85"/>
      <c r="E2443" s="85"/>
      <c r="F2443" s="86"/>
      <c r="G2443" s="86"/>
      <c r="H2443" s="87"/>
      <c r="I2443" s="86"/>
      <c r="J2443" s="87"/>
      <c r="K2443" s="86"/>
      <c r="L2443" s="86"/>
      <c r="M2443" s="87"/>
      <c r="N2443" s="86"/>
      <c r="O2443" s="87"/>
    </row>
    <row r="2444" spans="2:15">
      <c r="B2444" s="83"/>
      <c r="C2444" s="84"/>
      <c r="D2444" s="85"/>
      <c r="E2444" s="85"/>
      <c r="F2444" s="86"/>
      <c r="G2444" s="86"/>
      <c r="H2444" s="87"/>
      <c r="I2444" s="86"/>
      <c r="J2444" s="87"/>
      <c r="K2444" s="86"/>
      <c r="L2444" s="86"/>
      <c r="M2444" s="87"/>
      <c r="N2444" s="86"/>
      <c r="O2444" s="87"/>
    </row>
    <row r="2445" spans="2:15">
      <c r="B2445" s="83"/>
      <c r="C2445" s="84"/>
      <c r="D2445" s="85"/>
      <c r="E2445" s="85"/>
      <c r="F2445" s="86"/>
      <c r="G2445" s="86"/>
      <c r="H2445" s="87"/>
      <c r="I2445" s="86"/>
      <c r="J2445" s="87"/>
      <c r="K2445" s="86"/>
      <c r="L2445" s="86"/>
      <c r="M2445" s="87"/>
      <c r="N2445" s="86"/>
      <c r="O2445" s="87"/>
    </row>
    <row r="2446" spans="2:15">
      <c r="B2446" s="88"/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</row>
    <row r="2447" spans="2:15">
      <c r="B2447" s="88"/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</row>
    <row r="2448" spans="2:15">
      <c r="B2448" s="88"/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</row>
    <row r="2449" spans="2:15">
      <c r="B2449" s="88"/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</row>
    <row r="2450" spans="2:15">
      <c r="B2450" s="88"/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</row>
    <row r="2451" spans="2:15">
      <c r="B2451" s="88"/>
      <c r="C2451" s="86"/>
      <c r="D2451" s="86"/>
      <c r="E2451" s="86"/>
      <c r="F2451" s="86"/>
      <c r="G2451" s="86"/>
      <c r="H2451" s="86"/>
      <c r="I2451" s="86"/>
      <c r="J2451" s="86"/>
      <c r="K2451" s="86"/>
      <c r="L2451" s="86"/>
      <c r="M2451" s="86"/>
      <c r="N2451" s="86"/>
      <c r="O2451" s="86"/>
    </row>
    <row r="2452" spans="2:15">
      <c r="B2452" s="88"/>
      <c r="C2452" s="86"/>
      <c r="D2452" s="86"/>
      <c r="E2452" s="86"/>
      <c r="F2452" s="86"/>
      <c r="G2452" s="86"/>
      <c r="H2452" s="86"/>
      <c r="I2452" s="86"/>
      <c r="J2452" s="86"/>
      <c r="K2452" s="86"/>
      <c r="L2452" s="86"/>
      <c r="M2452" s="86"/>
      <c r="N2452" s="86"/>
      <c r="O2452" s="86"/>
    </row>
    <row r="2453" spans="2:15">
      <c r="B2453" s="88"/>
      <c r="C2453" s="86"/>
      <c r="D2453" s="86"/>
      <c r="E2453" s="86"/>
      <c r="F2453" s="86"/>
      <c r="G2453" s="86"/>
      <c r="H2453" s="86"/>
      <c r="I2453" s="86"/>
      <c r="J2453" s="86"/>
      <c r="K2453" s="86"/>
      <c r="L2453" s="86"/>
      <c r="M2453" s="86"/>
      <c r="N2453" s="86"/>
      <c r="O2453" s="86"/>
    </row>
    <row r="2454" spans="2:15">
      <c r="B2454" s="88"/>
      <c r="C2454" s="86"/>
      <c r="D2454" s="86"/>
      <c r="E2454" s="86"/>
      <c r="F2454" s="86"/>
      <c r="G2454" s="86"/>
      <c r="H2454" s="86"/>
      <c r="I2454" s="86"/>
      <c r="J2454" s="86"/>
      <c r="K2454" s="86"/>
      <c r="L2454" s="86"/>
      <c r="M2454" s="86"/>
      <c r="N2454" s="86"/>
      <c r="O2454" s="86"/>
    </row>
    <row r="2455" spans="2:15">
      <c r="B2455" s="88"/>
      <c r="C2455" s="86"/>
      <c r="D2455" s="86"/>
      <c r="E2455" s="86"/>
      <c r="F2455" s="86"/>
      <c r="G2455" s="86"/>
      <c r="H2455" s="86"/>
      <c r="I2455" s="86"/>
      <c r="J2455" s="86"/>
      <c r="K2455" s="86"/>
      <c r="L2455" s="86"/>
      <c r="M2455" s="86"/>
      <c r="N2455" s="86"/>
      <c r="O2455" s="86"/>
    </row>
    <row r="2456" spans="2:15">
      <c r="B2456" s="88"/>
      <c r="C2456" s="86"/>
      <c r="D2456" s="86"/>
      <c r="E2456" s="86"/>
      <c r="F2456" s="86"/>
      <c r="G2456" s="86"/>
      <c r="H2456" s="86"/>
      <c r="I2456" s="86"/>
      <c r="J2456" s="86"/>
      <c r="K2456" s="86"/>
      <c r="L2456" s="86"/>
      <c r="M2456" s="86"/>
      <c r="N2456" s="86"/>
      <c r="O2456" s="86"/>
    </row>
    <row r="2457" spans="2:15">
      <c r="B2457" s="88"/>
      <c r="C2457" s="86"/>
      <c r="D2457" s="86"/>
      <c r="E2457" s="86"/>
      <c r="F2457" s="86"/>
      <c r="G2457" s="86"/>
      <c r="H2457" s="86"/>
      <c r="I2457" s="86"/>
      <c r="J2457" s="86"/>
      <c r="K2457" s="86"/>
      <c r="L2457" s="86"/>
      <c r="M2457" s="86"/>
      <c r="N2457" s="86"/>
      <c r="O2457" s="86"/>
    </row>
    <row r="2458" spans="2:15">
      <c r="B2458" s="88"/>
      <c r="C2458" s="86"/>
      <c r="D2458" s="86"/>
      <c r="E2458" s="86"/>
      <c r="F2458" s="86"/>
      <c r="G2458" s="86"/>
      <c r="H2458" s="86"/>
      <c r="I2458" s="86"/>
      <c r="J2458" s="86"/>
      <c r="K2458" s="86"/>
      <c r="L2458" s="86"/>
      <c r="M2458" s="86"/>
      <c r="N2458" s="86"/>
      <c r="O2458" s="86"/>
    </row>
    <row r="2459" spans="2:15">
      <c r="B2459" s="88"/>
      <c r="C2459" s="86"/>
      <c r="D2459" s="86"/>
      <c r="E2459" s="86"/>
      <c r="F2459" s="86"/>
      <c r="G2459" s="86"/>
      <c r="H2459" s="86"/>
      <c r="I2459" s="86"/>
      <c r="J2459" s="86"/>
      <c r="K2459" s="86"/>
      <c r="L2459" s="86"/>
      <c r="M2459" s="86"/>
      <c r="N2459" s="86"/>
      <c r="O2459" s="86"/>
    </row>
    <row r="2460" spans="2:15">
      <c r="B2460" s="88"/>
      <c r="C2460" s="86"/>
      <c r="D2460" s="86"/>
      <c r="E2460" s="86"/>
      <c r="F2460" s="86"/>
      <c r="G2460" s="86"/>
      <c r="H2460" s="86"/>
      <c r="I2460" s="86"/>
      <c r="J2460" s="86"/>
      <c r="K2460" s="86"/>
      <c r="L2460" s="86"/>
      <c r="M2460" s="86"/>
      <c r="N2460" s="86"/>
      <c r="O2460" s="86"/>
    </row>
    <row r="2461" spans="2:15">
      <c r="B2461" s="88"/>
      <c r="C2461" s="86"/>
      <c r="D2461" s="86"/>
      <c r="E2461" s="86"/>
      <c r="F2461" s="86"/>
      <c r="G2461" s="86"/>
      <c r="H2461" s="86"/>
      <c r="I2461" s="86"/>
      <c r="J2461" s="86"/>
      <c r="K2461" s="86"/>
      <c r="L2461" s="86"/>
      <c r="M2461" s="86"/>
      <c r="N2461" s="86"/>
      <c r="O2461" s="86"/>
    </row>
    <row r="2462" spans="2:15">
      <c r="B2462" s="88"/>
      <c r="C2462" s="86"/>
      <c r="D2462" s="86"/>
      <c r="E2462" s="86"/>
      <c r="F2462" s="86"/>
      <c r="G2462" s="86"/>
      <c r="H2462" s="86"/>
      <c r="I2462" s="86"/>
      <c r="J2462" s="86"/>
      <c r="K2462" s="86"/>
      <c r="L2462" s="86"/>
      <c r="M2462" s="86"/>
      <c r="N2462" s="86"/>
      <c r="O2462" s="86"/>
    </row>
    <row r="2463" spans="2:15">
      <c r="B2463" s="88"/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</row>
    <row r="2464" spans="2:15">
      <c r="B2464" s="88"/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</row>
    <row r="2465" spans="2:15">
      <c r="B2465" s="88"/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</row>
    <row r="2466" spans="2:15">
      <c r="B2466" s="88"/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</row>
    <row r="2467" spans="2:15">
      <c r="B2467" s="88"/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</row>
    <row r="2468" spans="2:15">
      <c r="B2468" s="88"/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</row>
    <row r="2469" spans="2:15">
      <c r="B2469" s="88"/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</row>
    <row r="2470" spans="2:15">
      <c r="B2470" s="88"/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</row>
    <row r="2471" spans="2:15">
      <c r="B2471" s="88"/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</row>
    <row r="2472" spans="2:15">
      <c r="B2472" s="88"/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</row>
    <row r="2473" spans="2:15">
      <c r="B2473" s="88"/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</row>
    <row r="2474" spans="2:15">
      <c r="B2474" s="88"/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</row>
    <row r="2475" spans="2:15">
      <c r="B2475" s="88"/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</row>
    <row r="2476" spans="2:15">
      <c r="B2476" s="88"/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</row>
    <row r="2477" spans="2:15">
      <c r="B2477" s="88"/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</row>
    <row r="2478" spans="2:15">
      <c r="B2478" s="88"/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</row>
    <row r="2479" spans="2:15">
      <c r="B2479" s="88"/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</row>
    <row r="2480" spans="2:15">
      <c r="B2480" s="88"/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</row>
    <row r="2481" spans="2:15">
      <c r="B2481" s="88"/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</row>
    <row r="2482" spans="2:15">
      <c r="B2482" s="88"/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</row>
    <row r="2483" spans="2:15">
      <c r="B2483" s="88"/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</row>
    <row r="2484" spans="2:15">
      <c r="B2484" s="88"/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</row>
    <row r="2485" spans="2:15">
      <c r="B2485" s="88"/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</row>
    <row r="2486" spans="2:15">
      <c r="B2486" s="88"/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</row>
    <row r="2487" spans="2:15">
      <c r="B2487" s="88"/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</row>
    <row r="2488" spans="2:15">
      <c r="B2488" s="88"/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</row>
    <row r="2489" spans="2:15">
      <c r="B2489" s="88"/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</row>
    <row r="2490" spans="2:15">
      <c r="B2490" s="88"/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</row>
    <row r="2491" spans="2:15">
      <c r="B2491" s="88"/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</row>
    <row r="2492" spans="2:15">
      <c r="B2492" s="88"/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</row>
    <row r="2493" spans="2:15">
      <c r="B2493" s="88"/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</row>
    <row r="2494" spans="2:15">
      <c r="B2494" s="88"/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</row>
    <row r="2495" spans="2:15">
      <c r="B2495" s="88"/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</row>
    <row r="2496" spans="2:15">
      <c r="B2496" s="88"/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</row>
    <row r="2497" spans="2:15">
      <c r="B2497" s="88"/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</row>
    <row r="2498" spans="2:15">
      <c r="B2498" s="88"/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</row>
    <row r="2499" spans="2:15">
      <c r="B2499" s="88"/>
      <c r="C2499" s="86"/>
      <c r="D2499" s="86"/>
      <c r="E2499" s="86"/>
      <c r="F2499" s="86"/>
      <c r="G2499" s="86"/>
      <c r="H2499" s="86"/>
      <c r="I2499" s="86"/>
      <c r="J2499" s="86"/>
      <c r="K2499" s="86"/>
      <c r="L2499" s="86"/>
      <c r="M2499" s="86"/>
      <c r="N2499" s="86"/>
      <c r="O2499" s="86"/>
    </row>
    <row r="2500" spans="2:15">
      <c r="B2500" s="88"/>
      <c r="C2500" s="86"/>
      <c r="D2500" s="86"/>
      <c r="E2500" s="86"/>
      <c r="F2500" s="86"/>
      <c r="G2500" s="86"/>
      <c r="H2500" s="86"/>
      <c r="I2500" s="86"/>
      <c r="J2500" s="86"/>
      <c r="K2500" s="86"/>
      <c r="L2500" s="86"/>
      <c r="M2500" s="86"/>
      <c r="N2500" s="86"/>
      <c r="O2500" s="86"/>
    </row>
    <row r="2501" spans="2:15">
      <c r="B2501" s="88"/>
      <c r="C2501" s="86"/>
      <c r="D2501" s="86"/>
      <c r="E2501" s="86"/>
      <c r="F2501" s="86"/>
      <c r="G2501" s="86"/>
      <c r="H2501" s="86"/>
      <c r="I2501" s="86"/>
      <c r="J2501" s="86"/>
      <c r="K2501" s="86"/>
      <c r="L2501" s="86"/>
      <c r="M2501" s="86"/>
      <c r="N2501" s="86"/>
      <c r="O2501" s="86"/>
    </row>
    <row r="2502" spans="2:15">
      <c r="B2502" s="88"/>
      <c r="C2502" s="86"/>
      <c r="D2502" s="86"/>
      <c r="E2502" s="86"/>
      <c r="F2502" s="86"/>
      <c r="G2502" s="86"/>
      <c r="H2502" s="86"/>
      <c r="I2502" s="86"/>
      <c r="J2502" s="86"/>
      <c r="K2502" s="86"/>
      <c r="L2502" s="86"/>
      <c r="M2502" s="86"/>
      <c r="N2502" s="86"/>
      <c r="O2502" s="86"/>
    </row>
    <row r="2503" spans="2:15">
      <c r="B2503" s="88"/>
      <c r="C2503" s="86"/>
      <c r="D2503" s="86"/>
      <c r="E2503" s="86"/>
      <c r="F2503" s="86"/>
      <c r="G2503" s="86"/>
      <c r="H2503" s="86"/>
      <c r="I2503" s="86"/>
      <c r="J2503" s="86"/>
      <c r="K2503" s="86"/>
      <c r="L2503" s="86"/>
      <c r="M2503" s="86"/>
      <c r="N2503" s="86"/>
      <c r="O2503" s="86"/>
    </row>
    <row r="2504" spans="2:15">
      <c r="B2504" s="88"/>
      <c r="C2504" s="86"/>
      <c r="D2504" s="86"/>
      <c r="E2504" s="86"/>
      <c r="F2504" s="86"/>
      <c r="G2504" s="86"/>
      <c r="H2504" s="86"/>
      <c r="I2504" s="86"/>
      <c r="J2504" s="86"/>
      <c r="K2504" s="86"/>
      <c r="L2504" s="86"/>
      <c r="M2504" s="86"/>
      <c r="N2504" s="86"/>
      <c r="O2504" s="86"/>
    </row>
    <row r="2505" spans="2:15">
      <c r="B2505" s="88"/>
      <c r="C2505" s="86"/>
      <c r="D2505" s="86"/>
      <c r="E2505" s="86"/>
      <c r="F2505" s="86"/>
      <c r="G2505" s="86"/>
      <c r="H2505" s="86"/>
      <c r="I2505" s="86"/>
      <c r="J2505" s="86"/>
      <c r="K2505" s="86"/>
      <c r="L2505" s="86"/>
      <c r="M2505" s="86"/>
      <c r="N2505" s="86"/>
      <c r="O2505" s="86"/>
    </row>
    <row r="2506" spans="2:15">
      <c r="B2506" s="88"/>
      <c r="C2506" s="86"/>
      <c r="D2506" s="86"/>
      <c r="E2506" s="86"/>
      <c r="F2506" s="86"/>
      <c r="G2506" s="86"/>
      <c r="H2506" s="86"/>
      <c r="I2506" s="86"/>
      <c r="J2506" s="86"/>
      <c r="K2506" s="86"/>
      <c r="L2506" s="86"/>
      <c r="M2506" s="86"/>
      <c r="N2506" s="86"/>
      <c r="O2506" s="86"/>
    </row>
    <row r="2507" spans="2:15">
      <c r="B2507" s="88"/>
      <c r="C2507" s="86"/>
      <c r="D2507" s="86"/>
      <c r="E2507" s="86"/>
      <c r="F2507" s="86"/>
      <c r="G2507" s="86"/>
      <c r="H2507" s="86"/>
      <c r="I2507" s="86"/>
      <c r="J2507" s="86"/>
      <c r="K2507" s="86"/>
      <c r="L2507" s="86"/>
      <c r="M2507" s="86"/>
      <c r="N2507" s="86"/>
      <c r="O2507" s="86"/>
    </row>
    <row r="2508" spans="2:15">
      <c r="B2508" s="88"/>
      <c r="C2508" s="86"/>
      <c r="D2508" s="86"/>
      <c r="E2508" s="86"/>
      <c r="F2508" s="86"/>
      <c r="G2508" s="86"/>
      <c r="H2508" s="86"/>
      <c r="I2508" s="86"/>
      <c r="J2508" s="86"/>
      <c r="K2508" s="86"/>
      <c r="L2508" s="86"/>
      <c r="M2508" s="86"/>
      <c r="N2508" s="86"/>
      <c r="O2508" s="86"/>
    </row>
    <row r="2509" spans="2:15">
      <c r="B2509" s="88"/>
      <c r="C2509" s="86"/>
      <c r="D2509" s="86"/>
      <c r="E2509" s="86"/>
      <c r="F2509" s="86"/>
      <c r="G2509" s="86"/>
      <c r="H2509" s="86"/>
      <c r="I2509" s="86"/>
      <c r="J2509" s="86"/>
      <c r="K2509" s="86"/>
      <c r="L2509" s="86"/>
      <c r="M2509" s="86"/>
      <c r="N2509" s="86"/>
      <c r="O2509" s="86"/>
    </row>
    <row r="2510" spans="2:15">
      <c r="B2510" s="88"/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</row>
    <row r="2511" spans="2:15">
      <c r="B2511" s="88"/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</row>
    <row r="2512" spans="2:15">
      <c r="B2512" s="88"/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</row>
    <row r="2513" spans="2:15">
      <c r="B2513" s="88"/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</row>
    <row r="2514" spans="2:15">
      <c r="B2514" s="88"/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</row>
    <row r="2515" spans="2:15">
      <c r="B2515" s="88"/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</row>
    <row r="2516" spans="2:15">
      <c r="B2516" s="88"/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</row>
    <row r="2517" spans="2:15">
      <c r="B2517" s="88"/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</row>
    <row r="2518" spans="2:15">
      <c r="B2518" s="88"/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</row>
    <row r="2519" spans="2:15">
      <c r="B2519" s="88"/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</row>
    <row r="2520" spans="2:15">
      <c r="B2520" s="88"/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</row>
    <row r="2521" spans="2:15">
      <c r="B2521" s="88"/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</row>
    <row r="2522" spans="2:15">
      <c r="B2522" s="88"/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</row>
    <row r="2523" spans="2:15">
      <c r="B2523" s="88"/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</row>
    <row r="2524" spans="2:15">
      <c r="B2524" s="88"/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</row>
    <row r="2525" spans="2:15">
      <c r="B2525" s="88"/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</row>
    <row r="2526" spans="2:15">
      <c r="B2526" s="88"/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</row>
    <row r="2527" spans="2:15">
      <c r="B2527" s="88"/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</row>
    <row r="2528" spans="2:15">
      <c r="B2528" s="88"/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</row>
    <row r="2529" spans="2:15">
      <c r="B2529" s="88"/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</row>
    <row r="2530" spans="2:15">
      <c r="B2530" s="88"/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</row>
    <row r="2531" spans="2:15">
      <c r="B2531" s="88"/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</row>
    <row r="2532" spans="2:15">
      <c r="B2532" s="88"/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</row>
    <row r="2533" spans="2:15">
      <c r="B2533" s="88"/>
      <c r="C2533" s="86"/>
      <c r="D2533" s="86"/>
      <c r="E2533" s="86"/>
      <c r="F2533" s="86"/>
      <c r="G2533" s="86"/>
      <c r="H2533" s="86"/>
      <c r="I2533" s="86"/>
      <c r="J2533" s="86"/>
      <c r="K2533" s="86"/>
      <c r="L2533" s="86"/>
      <c r="M2533" s="86"/>
      <c r="N2533" s="86"/>
      <c r="O2533" s="86"/>
    </row>
    <row r="2534" spans="2:15">
      <c r="B2534" s="88"/>
      <c r="C2534" s="86"/>
      <c r="D2534" s="86"/>
      <c r="E2534" s="86"/>
      <c r="F2534" s="86"/>
      <c r="G2534" s="86"/>
      <c r="H2534" s="86"/>
      <c r="I2534" s="86"/>
      <c r="J2534" s="86"/>
      <c r="K2534" s="86"/>
      <c r="L2534" s="86"/>
      <c r="M2534" s="86"/>
      <c r="N2534" s="86"/>
      <c r="O2534" s="86"/>
    </row>
    <row r="2535" spans="2:15">
      <c r="B2535" s="88"/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</row>
    <row r="2536" spans="2:15">
      <c r="B2536" s="88"/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</row>
    <row r="2537" spans="2:15">
      <c r="B2537" s="88"/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</row>
    <row r="2538" spans="2:15">
      <c r="B2538" s="88"/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</row>
    <row r="2539" spans="2:15">
      <c r="B2539" s="88"/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</row>
    <row r="2540" spans="2:15">
      <c r="B2540" s="88"/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</row>
    <row r="2541" spans="2:15">
      <c r="B2541" s="88"/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</row>
    <row r="2542" spans="2:15">
      <c r="B2542" s="88"/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</row>
    <row r="2543" spans="2:15">
      <c r="B2543" s="88"/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</row>
    <row r="2544" spans="2:15">
      <c r="B2544" s="88"/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</row>
    <row r="2545" spans="2:15">
      <c r="B2545" s="88"/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</row>
    <row r="2546" spans="2:15">
      <c r="B2546" s="88"/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</row>
    <row r="2547" spans="2:15">
      <c r="B2547" s="88"/>
      <c r="C2547" s="86"/>
      <c r="D2547" s="86"/>
      <c r="E2547" s="86"/>
      <c r="F2547" s="86"/>
      <c r="G2547" s="86"/>
      <c r="H2547" s="86"/>
      <c r="I2547" s="86"/>
      <c r="J2547" s="86"/>
      <c r="K2547" s="86"/>
      <c r="L2547" s="86"/>
      <c r="M2547" s="86"/>
      <c r="N2547" s="86"/>
      <c r="O2547" s="86"/>
    </row>
    <row r="2548" spans="2:15">
      <c r="B2548" s="88"/>
      <c r="C2548" s="86"/>
      <c r="D2548" s="86"/>
      <c r="E2548" s="86"/>
      <c r="F2548" s="86"/>
      <c r="G2548" s="86"/>
      <c r="H2548" s="86"/>
      <c r="I2548" s="86"/>
      <c r="J2548" s="86"/>
      <c r="K2548" s="86"/>
      <c r="L2548" s="86"/>
      <c r="M2548" s="86"/>
      <c r="N2548" s="86"/>
      <c r="O2548" s="86"/>
    </row>
    <row r="2549" spans="2:15">
      <c r="B2549" s="88"/>
      <c r="C2549" s="86"/>
      <c r="D2549" s="86"/>
      <c r="E2549" s="86"/>
      <c r="F2549" s="86"/>
      <c r="G2549" s="86"/>
      <c r="H2549" s="86"/>
      <c r="I2549" s="86"/>
      <c r="J2549" s="86"/>
      <c r="K2549" s="86"/>
      <c r="L2549" s="86"/>
      <c r="M2549" s="86"/>
      <c r="N2549" s="86"/>
      <c r="O2549" s="86"/>
    </row>
    <row r="2550" spans="2:15">
      <c r="B2550" s="88"/>
      <c r="C2550" s="86"/>
      <c r="D2550" s="86"/>
      <c r="E2550" s="86"/>
      <c r="F2550" s="86"/>
      <c r="G2550" s="86"/>
      <c r="H2550" s="86"/>
      <c r="I2550" s="86"/>
      <c r="J2550" s="86"/>
      <c r="K2550" s="86"/>
      <c r="L2550" s="86"/>
      <c r="M2550" s="86"/>
      <c r="N2550" s="86"/>
      <c r="O2550" s="86"/>
    </row>
    <row r="2551" spans="2:15">
      <c r="B2551" s="88"/>
      <c r="C2551" s="86"/>
      <c r="D2551" s="86"/>
      <c r="E2551" s="86"/>
      <c r="F2551" s="86"/>
      <c r="G2551" s="86"/>
      <c r="H2551" s="86"/>
      <c r="I2551" s="86"/>
      <c r="J2551" s="86"/>
      <c r="K2551" s="86"/>
      <c r="L2551" s="86"/>
      <c r="M2551" s="86"/>
      <c r="N2551" s="86"/>
      <c r="O2551" s="86"/>
    </row>
    <row r="2552" spans="2:15">
      <c r="B2552" s="88"/>
      <c r="C2552" s="86"/>
      <c r="D2552" s="86"/>
      <c r="E2552" s="86"/>
      <c r="F2552" s="86"/>
      <c r="G2552" s="86"/>
      <c r="H2552" s="86"/>
      <c r="I2552" s="86"/>
      <c r="J2552" s="86"/>
      <c r="K2552" s="86"/>
      <c r="L2552" s="86"/>
      <c r="M2552" s="86"/>
      <c r="N2552" s="86"/>
      <c r="O2552" s="86"/>
    </row>
    <row r="2553" spans="2:15">
      <c r="B2553" s="88"/>
      <c r="C2553" s="86"/>
      <c r="D2553" s="86"/>
      <c r="E2553" s="86"/>
      <c r="F2553" s="86"/>
      <c r="G2553" s="86"/>
      <c r="H2553" s="86"/>
      <c r="I2553" s="86"/>
      <c r="J2553" s="86"/>
      <c r="K2553" s="86"/>
      <c r="L2553" s="86"/>
      <c r="M2553" s="86"/>
      <c r="N2553" s="86"/>
      <c r="O2553" s="86"/>
    </row>
    <row r="2554" spans="2:15">
      <c r="B2554" s="88"/>
      <c r="C2554" s="86"/>
      <c r="D2554" s="86"/>
      <c r="E2554" s="86"/>
      <c r="F2554" s="86"/>
      <c r="G2554" s="86"/>
      <c r="H2554" s="86"/>
      <c r="I2554" s="86"/>
      <c r="J2554" s="86"/>
      <c r="K2554" s="86"/>
      <c r="L2554" s="86"/>
      <c r="M2554" s="86"/>
      <c r="N2554" s="86"/>
      <c r="O2554" s="86"/>
    </row>
    <row r="2555" spans="2:15">
      <c r="B2555" s="88"/>
      <c r="C2555" s="86"/>
      <c r="D2555" s="86"/>
      <c r="E2555" s="86"/>
      <c r="F2555" s="86"/>
      <c r="G2555" s="86"/>
      <c r="H2555" s="86"/>
      <c r="I2555" s="86"/>
      <c r="J2555" s="86"/>
      <c r="K2555" s="86"/>
      <c r="L2555" s="86"/>
      <c r="M2555" s="86"/>
      <c r="N2555" s="86"/>
      <c r="O2555" s="86"/>
    </row>
    <row r="2556" spans="2:15">
      <c r="B2556" s="88"/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</row>
    <row r="2557" spans="2:15">
      <c r="B2557" s="88"/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</row>
    <row r="2558" spans="2:15">
      <c r="B2558" s="88"/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</row>
    <row r="2559" spans="2:15">
      <c r="B2559" s="88"/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</row>
    <row r="2560" spans="2:15">
      <c r="B2560" s="88"/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</row>
    <row r="2561" spans="2:15">
      <c r="B2561" s="88"/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</row>
    <row r="2562" spans="2:15">
      <c r="B2562" s="88"/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</row>
    <row r="2563" spans="2:15">
      <c r="B2563" s="88"/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</row>
    <row r="2564" spans="2:15">
      <c r="B2564" s="88"/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</row>
    <row r="2565" spans="2:15">
      <c r="B2565" s="88"/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</row>
    <row r="2566" spans="2:15">
      <c r="B2566" s="88"/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</row>
    <row r="2567" spans="2:15">
      <c r="B2567" s="88"/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</row>
    <row r="2568" spans="2:15">
      <c r="B2568" s="88"/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</row>
    <row r="2569" spans="2:15">
      <c r="B2569" s="88"/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</row>
    <row r="2570" spans="2:15">
      <c r="B2570" s="88"/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</row>
    <row r="2571" spans="2:15">
      <c r="B2571" s="88"/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</row>
    <row r="2572" spans="2:15">
      <c r="B2572" s="88"/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</row>
    <row r="2573" spans="2:15">
      <c r="B2573" s="88"/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</row>
    <row r="2574" spans="2:15">
      <c r="B2574" s="88"/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</row>
    <row r="2575" spans="2:15">
      <c r="B2575" s="88"/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</row>
    <row r="2576" spans="2:15">
      <c r="B2576" s="88"/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</row>
    <row r="2577" spans="2:15">
      <c r="B2577" s="88"/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</row>
    <row r="2578" spans="2:15">
      <c r="B2578" s="88"/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</row>
    <row r="2579" spans="2:15">
      <c r="B2579" s="88"/>
      <c r="C2579" s="86"/>
      <c r="D2579" s="86"/>
      <c r="E2579" s="86"/>
      <c r="F2579" s="86"/>
      <c r="G2579" s="86"/>
      <c r="H2579" s="86"/>
      <c r="I2579" s="86"/>
      <c r="J2579" s="86"/>
      <c r="K2579" s="86"/>
      <c r="L2579" s="86"/>
      <c r="M2579" s="86"/>
      <c r="N2579" s="86"/>
      <c r="O2579" s="86"/>
    </row>
    <row r="2580" spans="2:15">
      <c r="B2580" s="88"/>
      <c r="C2580" s="86"/>
      <c r="D2580" s="86"/>
      <c r="E2580" s="86"/>
      <c r="F2580" s="86"/>
      <c r="G2580" s="86"/>
      <c r="H2580" s="86"/>
      <c r="I2580" s="86"/>
      <c r="J2580" s="86"/>
      <c r="K2580" s="86"/>
      <c r="L2580" s="86"/>
      <c r="M2580" s="86"/>
      <c r="N2580" s="86"/>
      <c r="O2580" s="86"/>
    </row>
    <row r="2581" spans="2:15">
      <c r="B2581" s="88"/>
      <c r="C2581" s="86"/>
      <c r="D2581" s="86"/>
      <c r="E2581" s="86"/>
      <c r="F2581" s="86"/>
      <c r="G2581" s="86"/>
      <c r="H2581" s="86"/>
      <c r="I2581" s="86"/>
      <c r="J2581" s="86"/>
      <c r="K2581" s="86"/>
      <c r="L2581" s="86"/>
      <c r="M2581" s="86"/>
      <c r="N2581" s="86"/>
      <c r="O2581" s="86"/>
    </row>
    <row r="2582" spans="2:15">
      <c r="B2582" s="88"/>
      <c r="C2582" s="86"/>
      <c r="D2582" s="86"/>
      <c r="E2582" s="86"/>
      <c r="F2582" s="86"/>
      <c r="G2582" s="86"/>
      <c r="H2582" s="86"/>
      <c r="I2582" s="86"/>
      <c r="J2582" s="86"/>
      <c r="K2582" s="86"/>
      <c r="L2582" s="86"/>
      <c r="M2582" s="86"/>
      <c r="N2582" s="86"/>
      <c r="O2582" s="86"/>
    </row>
    <row r="2583" spans="2:15">
      <c r="B2583" s="88"/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</row>
    <row r="2584" spans="2:15">
      <c r="B2584" s="88"/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</row>
    <row r="2585" spans="2:15">
      <c r="B2585" s="88"/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</row>
    <row r="2586" spans="2:15">
      <c r="B2586" s="88"/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</row>
    <row r="2587" spans="2:15">
      <c r="B2587" s="88"/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</row>
    <row r="2588" spans="2:15">
      <c r="B2588" s="88"/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</row>
    <row r="2589" spans="2:15">
      <c r="B2589" s="88"/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</row>
    <row r="2590" spans="2:15">
      <c r="B2590" s="88"/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</row>
    <row r="2591" spans="2:15">
      <c r="B2591" s="88"/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</row>
    <row r="2592" spans="2:15">
      <c r="B2592" s="88"/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</row>
    <row r="2593" spans="2:15">
      <c r="B2593" s="88"/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</row>
    <row r="2594" spans="2:15">
      <c r="B2594" s="88"/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</row>
    <row r="2595" spans="2:15">
      <c r="B2595" s="88"/>
      <c r="C2595" s="86"/>
      <c r="D2595" s="86"/>
      <c r="E2595" s="86"/>
      <c r="F2595" s="86"/>
      <c r="G2595" s="86"/>
      <c r="H2595" s="86"/>
      <c r="I2595" s="86"/>
      <c r="J2595" s="86"/>
      <c r="K2595" s="86"/>
      <c r="L2595" s="86"/>
      <c r="M2595" s="86"/>
      <c r="N2595" s="86"/>
      <c r="O2595" s="86"/>
    </row>
    <row r="2596" spans="2:15">
      <c r="B2596" s="88"/>
      <c r="C2596" s="86"/>
      <c r="D2596" s="86"/>
      <c r="E2596" s="86"/>
      <c r="F2596" s="86"/>
      <c r="G2596" s="86"/>
      <c r="H2596" s="86"/>
      <c r="I2596" s="86"/>
      <c r="J2596" s="86"/>
      <c r="K2596" s="86"/>
      <c r="L2596" s="86"/>
      <c r="M2596" s="86"/>
      <c r="N2596" s="86"/>
      <c r="O2596" s="86"/>
    </row>
    <row r="2597" spans="2:15">
      <c r="B2597" s="88"/>
      <c r="C2597" s="86"/>
      <c r="D2597" s="86"/>
      <c r="E2597" s="86"/>
      <c r="F2597" s="86"/>
      <c r="G2597" s="86"/>
      <c r="H2597" s="86"/>
      <c r="I2597" s="86"/>
      <c r="J2597" s="86"/>
      <c r="K2597" s="86"/>
      <c r="L2597" s="86"/>
      <c r="M2597" s="86"/>
      <c r="N2597" s="86"/>
      <c r="O2597" s="86"/>
    </row>
    <row r="2598" spans="2:15">
      <c r="B2598" s="88"/>
      <c r="C2598" s="86"/>
      <c r="D2598" s="86"/>
      <c r="E2598" s="86"/>
      <c r="F2598" s="86"/>
      <c r="G2598" s="86"/>
      <c r="H2598" s="86"/>
      <c r="I2598" s="86"/>
      <c r="J2598" s="86"/>
      <c r="K2598" s="86"/>
      <c r="L2598" s="86"/>
      <c r="M2598" s="86"/>
      <c r="N2598" s="86"/>
      <c r="O2598" s="86"/>
    </row>
    <row r="2599" spans="2:15">
      <c r="B2599" s="88"/>
      <c r="C2599" s="86"/>
      <c r="D2599" s="86"/>
      <c r="E2599" s="86"/>
      <c r="F2599" s="86"/>
      <c r="G2599" s="86"/>
      <c r="H2599" s="86"/>
      <c r="I2599" s="86"/>
      <c r="J2599" s="86"/>
      <c r="K2599" s="86"/>
      <c r="L2599" s="86"/>
      <c r="M2599" s="86"/>
      <c r="N2599" s="86"/>
      <c r="O2599" s="86"/>
    </row>
    <row r="2600" spans="2:15">
      <c r="B2600" s="88"/>
      <c r="C2600" s="86"/>
      <c r="D2600" s="86"/>
      <c r="E2600" s="86"/>
      <c r="F2600" s="86"/>
      <c r="G2600" s="86"/>
      <c r="H2600" s="86"/>
      <c r="I2600" s="86"/>
      <c r="J2600" s="86"/>
      <c r="K2600" s="86"/>
      <c r="L2600" s="86"/>
      <c r="M2600" s="86"/>
      <c r="N2600" s="86"/>
      <c r="O2600" s="86"/>
    </row>
    <row r="2601" spans="2:15">
      <c r="B2601" s="88"/>
      <c r="C2601" s="86"/>
      <c r="D2601" s="86"/>
      <c r="E2601" s="86"/>
      <c r="F2601" s="86"/>
      <c r="G2601" s="86"/>
      <c r="H2601" s="86"/>
      <c r="I2601" s="86"/>
      <c r="J2601" s="86"/>
      <c r="K2601" s="86"/>
      <c r="L2601" s="86"/>
      <c r="M2601" s="86"/>
      <c r="N2601" s="86"/>
      <c r="O2601" s="86"/>
    </row>
    <row r="2602" spans="2:15">
      <c r="B2602" s="88"/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</row>
    <row r="2603" spans="2:15">
      <c r="B2603" s="88"/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</row>
    <row r="2604" spans="2:15">
      <c r="B2604" s="88"/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</row>
    <row r="2605" spans="2:15">
      <c r="B2605" s="88"/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</row>
    <row r="2606" spans="2:15">
      <c r="B2606" s="88"/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</row>
    <row r="2607" spans="2:15">
      <c r="B2607" s="88"/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</row>
    <row r="2608" spans="2:15">
      <c r="B2608" s="88"/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</row>
    <row r="2609" spans="2:15">
      <c r="B2609" s="88"/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</row>
    <row r="2610" spans="2:15">
      <c r="B2610" s="88"/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</row>
    <row r="2611" spans="2:15">
      <c r="B2611" s="88"/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</row>
    <row r="2612" spans="2:15">
      <c r="B2612" s="88"/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</row>
    <row r="2613" spans="2:15">
      <c r="B2613" s="88"/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</row>
    <row r="2614" spans="2:15">
      <c r="B2614" s="88"/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</row>
    <row r="2615" spans="2:15">
      <c r="B2615" s="88"/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</row>
    <row r="2616" spans="2:15">
      <c r="B2616" s="88"/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</row>
    <row r="2617" spans="2:15">
      <c r="B2617" s="88"/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</row>
    <row r="2618" spans="2:15">
      <c r="B2618" s="88"/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</row>
    <row r="2619" spans="2:15">
      <c r="B2619" s="88"/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</row>
    <row r="2620" spans="2:15">
      <c r="B2620" s="88"/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</row>
    <row r="2621" spans="2:15">
      <c r="B2621" s="88"/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</row>
    <row r="2622" spans="2:15">
      <c r="B2622" s="88"/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</row>
    <row r="2623" spans="2:15">
      <c r="B2623" s="88"/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</row>
    <row r="2624" spans="2:15">
      <c r="B2624" s="88"/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</row>
    <row r="2625" spans="2:15">
      <c r="B2625" s="88"/>
      <c r="C2625" s="86"/>
      <c r="D2625" s="86"/>
      <c r="E2625" s="86"/>
      <c r="F2625" s="86"/>
      <c r="G2625" s="86"/>
      <c r="H2625" s="86"/>
      <c r="I2625" s="86"/>
      <c r="J2625" s="86"/>
      <c r="K2625" s="86"/>
      <c r="L2625" s="86"/>
      <c r="M2625" s="86"/>
      <c r="N2625" s="86"/>
      <c r="O2625" s="86"/>
    </row>
    <row r="2626" spans="2:15">
      <c r="B2626" s="88"/>
      <c r="C2626" s="86"/>
      <c r="D2626" s="86"/>
      <c r="E2626" s="86"/>
      <c r="F2626" s="86"/>
      <c r="G2626" s="86"/>
      <c r="H2626" s="86"/>
      <c r="I2626" s="86"/>
      <c r="J2626" s="86"/>
      <c r="K2626" s="86"/>
      <c r="L2626" s="86"/>
      <c r="M2626" s="86"/>
      <c r="N2626" s="86"/>
      <c r="O2626" s="86"/>
    </row>
    <row r="2627" spans="2:15">
      <c r="B2627" s="88"/>
      <c r="C2627" s="86"/>
      <c r="D2627" s="86"/>
      <c r="E2627" s="86"/>
      <c r="F2627" s="86"/>
      <c r="G2627" s="86"/>
      <c r="H2627" s="86"/>
      <c r="I2627" s="86"/>
      <c r="J2627" s="86"/>
      <c r="K2627" s="86"/>
      <c r="L2627" s="86"/>
      <c r="M2627" s="86"/>
      <c r="N2627" s="86"/>
      <c r="O2627" s="86"/>
    </row>
    <row r="2628" spans="2:15">
      <c r="B2628" s="88"/>
      <c r="C2628" s="86"/>
      <c r="D2628" s="86"/>
      <c r="E2628" s="86"/>
      <c r="F2628" s="86"/>
      <c r="G2628" s="86"/>
      <c r="H2628" s="86"/>
      <c r="I2628" s="86"/>
      <c r="J2628" s="86"/>
      <c r="K2628" s="86"/>
      <c r="L2628" s="86"/>
      <c r="M2628" s="86"/>
      <c r="N2628" s="86"/>
      <c r="O2628" s="86"/>
    </row>
    <row r="2629" spans="2:15">
      <c r="B2629" s="88"/>
      <c r="C2629" s="86"/>
      <c r="D2629" s="86"/>
      <c r="E2629" s="86"/>
      <c r="F2629" s="86"/>
      <c r="G2629" s="86"/>
      <c r="H2629" s="86"/>
      <c r="I2629" s="86"/>
      <c r="J2629" s="86"/>
      <c r="K2629" s="86"/>
      <c r="L2629" s="86"/>
      <c r="M2629" s="86"/>
      <c r="N2629" s="86"/>
      <c r="O2629" s="86"/>
    </row>
    <row r="2630" spans="2:15">
      <c r="B2630" s="88"/>
      <c r="C2630" s="86"/>
      <c r="D2630" s="86"/>
      <c r="E2630" s="86"/>
      <c r="F2630" s="86"/>
      <c r="G2630" s="86"/>
      <c r="H2630" s="86"/>
      <c r="I2630" s="86"/>
      <c r="J2630" s="86"/>
      <c r="K2630" s="86"/>
      <c r="L2630" s="86"/>
      <c r="M2630" s="86"/>
      <c r="N2630" s="86"/>
      <c r="O2630" s="86"/>
    </row>
    <row r="2631" spans="2:15">
      <c r="B2631" s="88"/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</row>
    <row r="2632" spans="2:15">
      <c r="B2632" s="88"/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</row>
    <row r="2633" spans="2:15">
      <c r="B2633" s="88"/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</row>
    <row r="2634" spans="2:15">
      <c r="B2634" s="88"/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</row>
    <row r="2635" spans="2:15">
      <c r="B2635" s="88"/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</row>
    <row r="2636" spans="2:15">
      <c r="B2636" s="88"/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</row>
    <row r="2637" spans="2:15">
      <c r="B2637" s="88"/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</row>
    <row r="2638" spans="2:15">
      <c r="B2638" s="88"/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</row>
    <row r="2639" spans="2:15">
      <c r="B2639" s="88"/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</row>
    <row r="2640" spans="2:15">
      <c r="B2640" s="88"/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</row>
    <row r="2641" spans="2:15">
      <c r="B2641" s="88"/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</row>
    <row r="2642" spans="2:15">
      <c r="B2642" s="88"/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</row>
    <row r="2643" spans="2:15">
      <c r="B2643" s="88"/>
      <c r="C2643" s="86"/>
      <c r="D2643" s="86"/>
      <c r="E2643" s="86"/>
      <c r="F2643" s="86"/>
      <c r="G2643" s="86"/>
      <c r="H2643" s="86"/>
      <c r="I2643" s="86"/>
      <c r="J2643" s="86"/>
      <c r="K2643" s="86"/>
      <c r="L2643" s="86"/>
      <c r="M2643" s="86"/>
      <c r="N2643" s="86"/>
      <c r="O2643" s="86"/>
    </row>
    <row r="2644" spans="2:15">
      <c r="B2644" s="88"/>
      <c r="C2644" s="86"/>
      <c r="D2644" s="86"/>
      <c r="E2644" s="86"/>
      <c r="F2644" s="86"/>
      <c r="G2644" s="86"/>
      <c r="H2644" s="86"/>
      <c r="I2644" s="86"/>
      <c r="J2644" s="86"/>
      <c r="K2644" s="86"/>
      <c r="L2644" s="86"/>
      <c r="M2644" s="86"/>
      <c r="N2644" s="86"/>
      <c r="O2644" s="86"/>
    </row>
    <row r="2645" spans="2:15">
      <c r="B2645" s="88"/>
      <c r="C2645" s="86"/>
      <c r="D2645" s="86"/>
      <c r="E2645" s="86"/>
      <c r="F2645" s="86"/>
      <c r="G2645" s="86"/>
      <c r="H2645" s="86"/>
      <c r="I2645" s="86"/>
      <c r="J2645" s="86"/>
      <c r="K2645" s="86"/>
      <c r="L2645" s="86"/>
      <c r="M2645" s="86"/>
      <c r="N2645" s="86"/>
      <c r="O2645" s="86"/>
    </row>
    <row r="2646" spans="2:15">
      <c r="B2646" s="88"/>
      <c r="C2646" s="86"/>
      <c r="D2646" s="86"/>
      <c r="E2646" s="86"/>
      <c r="F2646" s="86"/>
      <c r="G2646" s="86"/>
      <c r="H2646" s="86"/>
      <c r="I2646" s="86"/>
      <c r="J2646" s="86"/>
      <c r="K2646" s="86"/>
      <c r="L2646" s="86"/>
      <c r="M2646" s="86"/>
      <c r="N2646" s="86"/>
      <c r="O2646" s="86"/>
    </row>
    <row r="2647" spans="2:15">
      <c r="B2647" s="88"/>
      <c r="C2647" s="86"/>
      <c r="D2647" s="86"/>
      <c r="E2647" s="86"/>
      <c r="F2647" s="86"/>
      <c r="G2647" s="86"/>
      <c r="H2647" s="86"/>
      <c r="I2647" s="86"/>
      <c r="J2647" s="86"/>
      <c r="K2647" s="86"/>
      <c r="L2647" s="86"/>
      <c r="M2647" s="86"/>
      <c r="N2647" s="86"/>
      <c r="O2647" s="86"/>
    </row>
    <row r="2648" spans="2:15">
      <c r="B2648" s="88"/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</row>
    <row r="2649" spans="2:15">
      <c r="B2649" s="88"/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</row>
    <row r="2650" spans="2:15">
      <c r="B2650" s="88"/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</row>
    <row r="2651" spans="2:15">
      <c r="B2651" s="88"/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</row>
    <row r="2652" spans="2:15">
      <c r="B2652" s="88"/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</row>
    <row r="2653" spans="2:15">
      <c r="B2653" s="88"/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</row>
    <row r="2654" spans="2:15">
      <c r="B2654" s="88"/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</row>
    <row r="2655" spans="2:15">
      <c r="B2655" s="88"/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</row>
    <row r="2656" spans="2:15">
      <c r="B2656" s="88"/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</row>
    <row r="2657" spans="2:15">
      <c r="B2657" s="88"/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</row>
    <row r="2658" spans="2:15">
      <c r="B2658" s="88"/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</row>
    <row r="2659" spans="2:15">
      <c r="B2659" s="88"/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</row>
    <row r="2660" spans="2:15">
      <c r="B2660" s="88"/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</row>
    <row r="2661" spans="2:15">
      <c r="B2661" s="88"/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</row>
    <row r="2662" spans="2:15">
      <c r="B2662" s="88"/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</row>
    <row r="2663" spans="2:15">
      <c r="B2663" s="88"/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</row>
    <row r="2664" spans="2:15">
      <c r="B2664" s="88"/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</row>
    <row r="2665" spans="2:15">
      <c r="B2665" s="88"/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</row>
    <row r="2666" spans="2:15">
      <c r="B2666" s="88"/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</row>
    <row r="2667" spans="2:15">
      <c r="B2667" s="88"/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</row>
    <row r="2668" spans="2:15">
      <c r="B2668" s="88"/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</row>
    <row r="2669" spans="2:15">
      <c r="B2669" s="88"/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</row>
    <row r="2670" spans="2:15">
      <c r="B2670" s="88"/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</row>
    <row r="2671" spans="2:15">
      <c r="B2671" s="88"/>
      <c r="C2671" s="86"/>
      <c r="D2671" s="86"/>
      <c r="E2671" s="86"/>
      <c r="F2671" s="86"/>
      <c r="G2671" s="86"/>
      <c r="H2671" s="86"/>
      <c r="I2671" s="86"/>
      <c r="J2671" s="86"/>
      <c r="K2671" s="86"/>
      <c r="L2671" s="86"/>
      <c r="M2671" s="86"/>
      <c r="N2671" s="86"/>
      <c r="O2671" s="86"/>
    </row>
    <row r="2672" spans="2:15">
      <c r="B2672" s="88"/>
      <c r="C2672" s="86"/>
      <c r="D2672" s="86"/>
      <c r="E2672" s="86"/>
      <c r="F2672" s="86"/>
      <c r="G2672" s="86"/>
      <c r="H2672" s="86"/>
      <c r="I2672" s="86"/>
      <c r="J2672" s="86"/>
      <c r="K2672" s="86"/>
      <c r="L2672" s="86"/>
      <c r="M2672" s="86"/>
      <c r="N2672" s="86"/>
      <c r="O2672" s="86"/>
    </row>
    <row r="2673" spans="2:15">
      <c r="B2673" s="88"/>
      <c r="C2673" s="86"/>
      <c r="D2673" s="86"/>
      <c r="E2673" s="86"/>
      <c r="F2673" s="86"/>
      <c r="G2673" s="86"/>
      <c r="H2673" s="86"/>
      <c r="I2673" s="86"/>
      <c r="J2673" s="86"/>
      <c r="K2673" s="86"/>
      <c r="L2673" s="86"/>
      <c r="M2673" s="86"/>
      <c r="N2673" s="86"/>
      <c r="O2673" s="86"/>
    </row>
    <row r="2674" spans="2:15">
      <c r="B2674" s="88"/>
      <c r="C2674" s="86"/>
      <c r="D2674" s="86"/>
      <c r="E2674" s="86"/>
      <c r="F2674" s="86"/>
      <c r="G2674" s="86"/>
      <c r="H2674" s="86"/>
      <c r="I2674" s="86"/>
      <c r="J2674" s="86"/>
      <c r="K2674" s="86"/>
      <c r="L2674" s="86"/>
      <c r="M2674" s="86"/>
      <c r="N2674" s="86"/>
      <c r="O2674" s="86"/>
    </row>
    <row r="2675" spans="2:15">
      <c r="B2675" s="88"/>
      <c r="C2675" s="86"/>
      <c r="D2675" s="86"/>
      <c r="E2675" s="86"/>
      <c r="F2675" s="86"/>
      <c r="G2675" s="86"/>
      <c r="H2675" s="86"/>
      <c r="I2675" s="86"/>
      <c r="J2675" s="86"/>
      <c r="K2675" s="86"/>
      <c r="L2675" s="86"/>
      <c r="M2675" s="86"/>
      <c r="N2675" s="86"/>
      <c r="O2675" s="86"/>
    </row>
    <row r="2676" spans="2:15">
      <c r="B2676" s="88"/>
      <c r="C2676" s="86"/>
      <c r="D2676" s="86"/>
      <c r="E2676" s="86"/>
      <c r="F2676" s="86"/>
      <c r="G2676" s="86"/>
      <c r="H2676" s="86"/>
      <c r="I2676" s="86"/>
      <c r="J2676" s="86"/>
      <c r="K2676" s="86"/>
      <c r="L2676" s="86"/>
      <c r="M2676" s="86"/>
      <c r="N2676" s="86"/>
      <c r="O2676" s="86"/>
    </row>
    <row r="2677" spans="2:15">
      <c r="B2677" s="88"/>
      <c r="C2677" s="86"/>
      <c r="D2677" s="86"/>
      <c r="E2677" s="86"/>
      <c r="F2677" s="86"/>
      <c r="G2677" s="86"/>
      <c r="H2677" s="86"/>
      <c r="I2677" s="86"/>
      <c r="J2677" s="86"/>
      <c r="K2677" s="86"/>
      <c r="L2677" s="86"/>
      <c r="M2677" s="86"/>
      <c r="N2677" s="86"/>
      <c r="O2677" s="86"/>
    </row>
    <row r="2678" spans="2:15">
      <c r="B2678" s="88"/>
      <c r="C2678" s="86"/>
      <c r="D2678" s="86"/>
      <c r="E2678" s="86"/>
      <c r="F2678" s="86"/>
      <c r="G2678" s="86"/>
      <c r="H2678" s="86"/>
      <c r="I2678" s="86"/>
      <c r="J2678" s="86"/>
      <c r="K2678" s="86"/>
      <c r="L2678" s="86"/>
      <c r="M2678" s="86"/>
      <c r="N2678" s="86"/>
      <c r="O2678" s="86"/>
    </row>
    <row r="2679" spans="2:15">
      <c r="B2679" s="88"/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</row>
    <row r="2680" spans="2:15">
      <c r="B2680" s="88"/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</row>
    <row r="2681" spans="2:15">
      <c r="B2681" s="88"/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</row>
    <row r="2682" spans="2:15">
      <c r="B2682" s="88"/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</row>
    <row r="2683" spans="2:15">
      <c r="B2683" s="88"/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</row>
    <row r="2684" spans="2:15">
      <c r="B2684" s="88"/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</row>
    <row r="2685" spans="2:15">
      <c r="B2685" s="88"/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</row>
    <row r="2686" spans="2:15">
      <c r="B2686" s="88"/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</row>
    <row r="2687" spans="2:15">
      <c r="B2687" s="88"/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</row>
    <row r="2688" spans="2:15">
      <c r="B2688" s="88"/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</row>
    <row r="2689" spans="2:15">
      <c r="B2689" s="88"/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</row>
    <row r="2690" spans="2:15">
      <c r="B2690" s="88"/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</row>
    <row r="2691" spans="2:15">
      <c r="B2691" s="88"/>
      <c r="C2691" s="86"/>
      <c r="D2691" s="86"/>
      <c r="E2691" s="86"/>
      <c r="F2691" s="86"/>
      <c r="G2691" s="86"/>
      <c r="H2691" s="86"/>
      <c r="I2691" s="86"/>
      <c r="J2691" s="86"/>
      <c r="K2691" s="86"/>
      <c r="L2691" s="86"/>
      <c r="M2691" s="86"/>
      <c r="N2691" s="86"/>
      <c r="O2691" s="86"/>
    </row>
    <row r="2692" spans="2:15">
      <c r="B2692" s="88"/>
      <c r="C2692" s="86"/>
      <c r="D2692" s="86"/>
      <c r="E2692" s="86"/>
      <c r="F2692" s="86"/>
      <c r="G2692" s="86"/>
      <c r="H2692" s="86"/>
      <c r="I2692" s="86"/>
      <c r="J2692" s="86"/>
      <c r="K2692" s="86"/>
      <c r="L2692" s="86"/>
      <c r="M2692" s="86"/>
      <c r="N2692" s="86"/>
      <c r="O2692" s="86"/>
    </row>
    <row r="2693" spans="2:15">
      <c r="B2693" s="88"/>
      <c r="C2693" s="86"/>
      <c r="D2693" s="86"/>
      <c r="E2693" s="86"/>
      <c r="F2693" s="86"/>
      <c r="G2693" s="86"/>
      <c r="H2693" s="86"/>
      <c r="I2693" s="86"/>
      <c r="J2693" s="86"/>
      <c r="K2693" s="86"/>
      <c r="L2693" s="86"/>
      <c r="M2693" s="86"/>
      <c r="N2693" s="86"/>
      <c r="O2693" s="86"/>
    </row>
    <row r="2694" spans="2:15">
      <c r="B2694" s="88"/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</row>
    <row r="2695" spans="2:15">
      <c r="B2695" s="88"/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</row>
    <row r="2696" spans="2:15">
      <c r="B2696" s="88"/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</row>
    <row r="2697" spans="2:15">
      <c r="B2697" s="88"/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</row>
    <row r="2698" spans="2:15">
      <c r="B2698" s="88"/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</row>
    <row r="2699" spans="2:15">
      <c r="B2699" s="88"/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</row>
    <row r="2700" spans="2:15">
      <c r="B2700" s="88"/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</row>
    <row r="2701" spans="2:15">
      <c r="B2701" s="88"/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</row>
    <row r="2702" spans="2:15">
      <c r="B2702" s="88"/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</row>
    <row r="2703" spans="2:15">
      <c r="B2703" s="88"/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</row>
    <row r="2704" spans="2:15">
      <c r="B2704" s="88"/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</row>
    <row r="2705" spans="2:15">
      <c r="B2705" s="88"/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</row>
    <row r="2706" spans="2:15">
      <c r="B2706" s="88"/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</row>
    <row r="2707" spans="2:15">
      <c r="B2707" s="88"/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</row>
    <row r="2708" spans="2:15">
      <c r="B2708" s="88"/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</row>
    <row r="2709" spans="2:15">
      <c r="B2709" s="88"/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</row>
    <row r="2710" spans="2:15">
      <c r="B2710" s="88"/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</row>
    <row r="2711" spans="2:15">
      <c r="B2711" s="88"/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</row>
    <row r="2712" spans="2:15">
      <c r="B2712" s="88"/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</row>
    <row r="2713" spans="2:15">
      <c r="B2713" s="88"/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</row>
    <row r="2714" spans="2:15">
      <c r="B2714" s="88"/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</row>
    <row r="2715" spans="2:15">
      <c r="B2715" s="88"/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</row>
    <row r="2716" spans="2:15">
      <c r="B2716" s="88"/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</row>
    <row r="2717" spans="2:15">
      <c r="B2717" s="88"/>
      <c r="C2717" s="86"/>
      <c r="D2717" s="86"/>
      <c r="E2717" s="86"/>
      <c r="F2717" s="86"/>
      <c r="G2717" s="86"/>
      <c r="H2717" s="86"/>
      <c r="I2717" s="86"/>
      <c r="J2717" s="86"/>
      <c r="K2717" s="86"/>
      <c r="L2717" s="86"/>
      <c r="M2717" s="86"/>
      <c r="N2717" s="86"/>
      <c r="O2717" s="86"/>
    </row>
    <row r="2718" spans="2:15">
      <c r="B2718" s="88"/>
      <c r="C2718" s="86"/>
      <c r="D2718" s="86"/>
      <c r="E2718" s="86"/>
      <c r="F2718" s="86"/>
      <c r="G2718" s="86"/>
      <c r="H2718" s="86"/>
      <c r="I2718" s="86"/>
      <c r="J2718" s="86"/>
      <c r="K2718" s="86"/>
      <c r="L2718" s="86"/>
      <c r="M2718" s="86"/>
      <c r="N2718" s="86"/>
      <c r="O2718" s="86"/>
    </row>
    <row r="2719" spans="2:15">
      <c r="B2719" s="88"/>
      <c r="C2719" s="86"/>
      <c r="D2719" s="86"/>
      <c r="E2719" s="86"/>
      <c r="F2719" s="86"/>
      <c r="G2719" s="86"/>
      <c r="H2719" s="86"/>
      <c r="I2719" s="86"/>
      <c r="J2719" s="86"/>
      <c r="K2719" s="86"/>
      <c r="L2719" s="86"/>
      <c r="M2719" s="86"/>
      <c r="N2719" s="86"/>
      <c r="O2719" s="86"/>
    </row>
    <row r="2720" spans="2:15">
      <c r="B2720" s="88"/>
      <c r="C2720" s="86"/>
      <c r="D2720" s="86"/>
      <c r="E2720" s="86"/>
      <c r="F2720" s="86"/>
      <c r="G2720" s="86"/>
      <c r="H2720" s="86"/>
      <c r="I2720" s="86"/>
      <c r="J2720" s="86"/>
      <c r="K2720" s="86"/>
      <c r="L2720" s="86"/>
      <c r="M2720" s="86"/>
      <c r="N2720" s="86"/>
      <c r="O2720" s="86"/>
    </row>
    <row r="2721" spans="2:15">
      <c r="B2721" s="88"/>
      <c r="C2721" s="86"/>
      <c r="D2721" s="86"/>
      <c r="E2721" s="86"/>
      <c r="F2721" s="86"/>
      <c r="G2721" s="86"/>
      <c r="H2721" s="86"/>
      <c r="I2721" s="86"/>
      <c r="J2721" s="86"/>
      <c r="K2721" s="86"/>
      <c r="L2721" s="86"/>
      <c r="M2721" s="86"/>
      <c r="N2721" s="86"/>
      <c r="O2721" s="86"/>
    </row>
    <row r="2722" spans="2:15">
      <c r="B2722" s="88"/>
      <c r="C2722" s="86"/>
      <c r="D2722" s="86"/>
      <c r="E2722" s="86"/>
      <c r="F2722" s="86"/>
      <c r="G2722" s="86"/>
      <c r="H2722" s="86"/>
      <c r="I2722" s="86"/>
      <c r="J2722" s="86"/>
      <c r="K2722" s="86"/>
      <c r="L2722" s="86"/>
      <c r="M2722" s="86"/>
      <c r="N2722" s="86"/>
      <c r="O2722" s="86"/>
    </row>
    <row r="2723" spans="2:15">
      <c r="B2723" s="88"/>
      <c r="C2723" s="86"/>
      <c r="D2723" s="86"/>
      <c r="E2723" s="86"/>
      <c r="F2723" s="86"/>
      <c r="G2723" s="86"/>
      <c r="H2723" s="86"/>
      <c r="I2723" s="86"/>
      <c r="J2723" s="86"/>
      <c r="K2723" s="86"/>
      <c r="L2723" s="86"/>
      <c r="M2723" s="86"/>
      <c r="N2723" s="86"/>
      <c r="O2723" s="86"/>
    </row>
    <row r="2724" spans="2:15">
      <c r="B2724" s="88"/>
      <c r="C2724" s="86"/>
      <c r="D2724" s="86"/>
      <c r="E2724" s="86"/>
      <c r="F2724" s="86"/>
      <c r="G2724" s="86"/>
      <c r="H2724" s="86"/>
      <c r="I2724" s="86"/>
      <c r="J2724" s="86"/>
      <c r="K2724" s="86"/>
      <c r="L2724" s="86"/>
      <c r="M2724" s="86"/>
      <c r="N2724" s="86"/>
      <c r="O2724" s="86"/>
    </row>
    <row r="2725" spans="2:15">
      <c r="B2725" s="88"/>
      <c r="C2725" s="86"/>
      <c r="D2725" s="86"/>
      <c r="E2725" s="86"/>
      <c r="F2725" s="86"/>
      <c r="G2725" s="86"/>
      <c r="H2725" s="86"/>
      <c r="I2725" s="86"/>
      <c r="J2725" s="86"/>
      <c r="K2725" s="86"/>
      <c r="L2725" s="86"/>
      <c r="M2725" s="86"/>
      <c r="N2725" s="86"/>
      <c r="O2725" s="86"/>
    </row>
    <row r="2726" spans="2:15">
      <c r="B2726" s="88"/>
      <c r="C2726" s="86"/>
      <c r="D2726" s="86"/>
      <c r="E2726" s="86"/>
      <c r="F2726" s="86"/>
      <c r="G2726" s="86"/>
      <c r="H2726" s="86"/>
      <c r="I2726" s="86"/>
      <c r="J2726" s="86"/>
      <c r="K2726" s="86"/>
      <c r="L2726" s="86"/>
      <c r="M2726" s="86"/>
      <c r="N2726" s="86"/>
      <c r="O2726" s="86"/>
    </row>
    <row r="2727" spans="2:15">
      <c r="B2727" s="88"/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</row>
    <row r="2728" spans="2:15">
      <c r="B2728" s="88"/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</row>
    <row r="2729" spans="2:15">
      <c r="B2729" s="88"/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</row>
    <row r="2730" spans="2:15">
      <c r="B2730" s="88"/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</row>
    <row r="2731" spans="2:15">
      <c r="B2731" s="88"/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</row>
    <row r="2732" spans="2:15">
      <c r="B2732" s="88"/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</row>
    <row r="2733" spans="2:15">
      <c r="B2733" s="88"/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</row>
    <row r="2734" spans="2:15">
      <c r="B2734" s="88"/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</row>
    <row r="2735" spans="2:15">
      <c r="B2735" s="88"/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</row>
    <row r="2736" spans="2:15">
      <c r="B2736" s="88"/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</row>
    <row r="2737" spans="2:15">
      <c r="B2737" s="88"/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</row>
    <row r="2738" spans="2:15">
      <c r="B2738" s="88"/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</row>
    <row r="2739" spans="2:15">
      <c r="B2739" s="88"/>
      <c r="C2739" s="86"/>
      <c r="D2739" s="86"/>
      <c r="E2739" s="86"/>
      <c r="F2739" s="86"/>
      <c r="G2739" s="86"/>
      <c r="H2739" s="86"/>
      <c r="I2739" s="86"/>
      <c r="J2739" s="86"/>
      <c r="K2739" s="86"/>
      <c r="L2739" s="86"/>
      <c r="M2739" s="86"/>
      <c r="N2739" s="86"/>
      <c r="O2739" s="86"/>
    </row>
    <row r="2740" spans="2:15">
      <c r="B2740" s="88"/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</row>
    <row r="2741" spans="2:15">
      <c r="B2741" s="88"/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</row>
    <row r="2742" spans="2:15">
      <c r="B2742" s="88"/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</row>
    <row r="2743" spans="2:15">
      <c r="B2743" s="88"/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</row>
    <row r="2744" spans="2:15">
      <c r="B2744" s="88"/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</row>
    <row r="2745" spans="2:15">
      <c r="B2745" s="88"/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</row>
    <row r="2746" spans="2:15">
      <c r="B2746" s="88"/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</row>
    <row r="2747" spans="2:15">
      <c r="B2747" s="88"/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</row>
    <row r="2748" spans="2:15">
      <c r="B2748" s="88"/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</row>
    <row r="2749" spans="2:15">
      <c r="B2749" s="88"/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</row>
    <row r="2750" spans="2:15">
      <c r="B2750" s="88"/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</row>
    <row r="2751" spans="2:15">
      <c r="B2751" s="88"/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</row>
    <row r="2752" spans="2:15">
      <c r="B2752" s="88"/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</row>
    <row r="2753" spans="2:15">
      <c r="B2753" s="88"/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</row>
    <row r="2754" spans="2:15">
      <c r="B2754" s="88"/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</row>
    <row r="2755" spans="2:15">
      <c r="B2755" s="88"/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</row>
    <row r="2756" spans="2:15">
      <c r="B2756" s="88"/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</row>
    <row r="2757" spans="2:15">
      <c r="B2757" s="88"/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</row>
    <row r="2758" spans="2:15">
      <c r="B2758" s="88"/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</row>
    <row r="2759" spans="2:15">
      <c r="B2759" s="88"/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</row>
    <row r="2760" spans="2:15">
      <c r="B2760" s="88"/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</row>
    <row r="2761" spans="2:15">
      <c r="B2761" s="88"/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</row>
    <row r="2762" spans="2:15">
      <c r="B2762" s="88"/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</row>
    <row r="2763" spans="2:15">
      <c r="B2763" s="88"/>
      <c r="C2763" s="86"/>
      <c r="D2763" s="86"/>
      <c r="E2763" s="86"/>
      <c r="F2763" s="86"/>
      <c r="G2763" s="86"/>
      <c r="H2763" s="86"/>
      <c r="I2763" s="86"/>
      <c r="J2763" s="86"/>
      <c r="K2763" s="86"/>
      <c r="L2763" s="86"/>
      <c r="M2763" s="86"/>
      <c r="N2763" s="86"/>
      <c r="O2763" s="86"/>
    </row>
    <row r="2764" spans="2:15">
      <c r="B2764" s="88"/>
      <c r="C2764" s="86"/>
      <c r="D2764" s="86"/>
      <c r="E2764" s="86"/>
      <c r="F2764" s="86"/>
      <c r="G2764" s="86"/>
      <c r="H2764" s="86"/>
      <c r="I2764" s="86"/>
      <c r="J2764" s="86"/>
      <c r="K2764" s="86"/>
      <c r="L2764" s="86"/>
      <c r="M2764" s="86"/>
      <c r="N2764" s="86"/>
      <c r="O2764" s="86"/>
    </row>
    <row r="2765" spans="2:15">
      <c r="B2765" s="88"/>
      <c r="C2765" s="86"/>
      <c r="D2765" s="86"/>
      <c r="E2765" s="86"/>
      <c r="F2765" s="86"/>
      <c r="G2765" s="86"/>
      <c r="H2765" s="86"/>
      <c r="I2765" s="86"/>
      <c r="J2765" s="86"/>
      <c r="K2765" s="86"/>
      <c r="L2765" s="86"/>
      <c r="M2765" s="86"/>
      <c r="N2765" s="86"/>
      <c r="O2765" s="86"/>
    </row>
    <row r="2766" spans="2:15">
      <c r="B2766" s="88"/>
      <c r="C2766" s="86"/>
      <c r="D2766" s="86"/>
      <c r="E2766" s="86"/>
      <c r="F2766" s="86"/>
      <c r="G2766" s="86"/>
      <c r="H2766" s="86"/>
      <c r="I2766" s="86"/>
      <c r="J2766" s="86"/>
      <c r="K2766" s="86"/>
      <c r="L2766" s="86"/>
      <c r="M2766" s="86"/>
      <c r="N2766" s="86"/>
      <c r="O2766" s="86"/>
    </row>
    <row r="2767" spans="2:15">
      <c r="B2767" s="88"/>
      <c r="C2767" s="86"/>
      <c r="D2767" s="86"/>
      <c r="E2767" s="86"/>
      <c r="F2767" s="86"/>
      <c r="G2767" s="86"/>
      <c r="H2767" s="86"/>
      <c r="I2767" s="86"/>
      <c r="J2767" s="86"/>
      <c r="K2767" s="86"/>
      <c r="L2767" s="86"/>
      <c r="M2767" s="86"/>
      <c r="N2767" s="86"/>
      <c r="O2767" s="86"/>
    </row>
    <row r="2768" spans="2:15">
      <c r="B2768" s="88"/>
      <c r="C2768" s="86"/>
      <c r="D2768" s="86"/>
      <c r="E2768" s="86"/>
      <c r="F2768" s="86"/>
      <c r="G2768" s="86"/>
      <c r="H2768" s="86"/>
      <c r="I2768" s="86"/>
      <c r="J2768" s="86"/>
      <c r="K2768" s="86"/>
      <c r="L2768" s="86"/>
      <c r="M2768" s="86"/>
      <c r="N2768" s="86"/>
      <c r="O2768" s="86"/>
    </row>
    <row r="2769" spans="2:15">
      <c r="B2769" s="88"/>
      <c r="C2769" s="86"/>
      <c r="D2769" s="86"/>
      <c r="E2769" s="86"/>
      <c r="F2769" s="86"/>
      <c r="G2769" s="86"/>
      <c r="H2769" s="86"/>
      <c r="I2769" s="86"/>
      <c r="J2769" s="86"/>
      <c r="K2769" s="86"/>
      <c r="L2769" s="86"/>
      <c r="M2769" s="86"/>
      <c r="N2769" s="86"/>
      <c r="O2769" s="86"/>
    </row>
    <row r="2770" spans="2:15">
      <c r="B2770" s="88"/>
      <c r="C2770" s="86"/>
      <c r="D2770" s="86"/>
      <c r="E2770" s="86"/>
      <c r="F2770" s="86"/>
      <c r="G2770" s="86"/>
      <c r="H2770" s="86"/>
      <c r="I2770" s="86"/>
      <c r="J2770" s="86"/>
      <c r="K2770" s="86"/>
      <c r="L2770" s="86"/>
      <c r="M2770" s="86"/>
      <c r="N2770" s="86"/>
      <c r="O2770" s="86"/>
    </row>
    <row r="2771" spans="2:15">
      <c r="B2771" s="88"/>
      <c r="C2771" s="86"/>
      <c r="D2771" s="86"/>
      <c r="E2771" s="86"/>
      <c r="F2771" s="86"/>
      <c r="G2771" s="86"/>
      <c r="H2771" s="86"/>
      <c r="I2771" s="86"/>
      <c r="J2771" s="86"/>
      <c r="K2771" s="86"/>
      <c r="L2771" s="86"/>
      <c r="M2771" s="86"/>
      <c r="N2771" s="86"/>
      <c r="O2771" s="86"/>
    </row>
    <row r="2772" spans="2:15">
      <c r="B2772" s="88"/>
      <c r="C2772" s="86"/>
      <c r="D2772" s="86"/>
      <c r="E2772" s="86"/>
      <c r="F2772" s="86"/>
      <c r="G2772" s="86"/>
      <c r="H2772" s="86"/>
      <c r="I2772" s="86"/>
      <c r="J2772" s="86"/>
      <c r="K2772" s="86"/>
      <c r="L2772" s="86"/>
      <c r="M2772" s="86"/>
      <c r="N2772" s="86"/>
      <c r="O2772" s="86"/>
    </row>
    <row r="2773" spans="2:15">
      <c r="B2773" s="88"/>
      <c r="C2773" s="86"/>
      <c r="D2773" s="86"/>
      <c r="E2773" s="86"/>
      <c r="F2773" s="86"/>
      <c r="G2773" s="86"/>
      <c r="H2773" s="86"/>
      <c r="I2773" s="86"/>
      <c r="J2773" s="86"/>
      <c r="K2773" s="86"/>
      <c r="L2773" s="86"/>
      <c r="M2773" s="86"/>
      <c r="N2773" s="86"/>
      <c r="O2773" s="86"/>
    </row>
    <row r="2774" spans="2:15">
      <c r="B2774" s="88"/>
      <c r="C2774" s="86"/>
      <c r="D2774" s="86"/>
      <c r="E2774" s="86"/>
      <c r="F2774" s="86"/>
      <c r="G2774" s="86"/>
      <c r="H2774" s="86"/>
      <c r="I2774" s="86"/>
      <c r="J2774" s="86"/>
      <c r="K2774" s="86"/>
      <c r="L2774" s="86"/>
      <c r="M2774" s="86"/>
      <c r="N2774" s="86"/>
      <c r="O2774" s="86"/>
    </row>
    <row r="2775" spans="2:15">
      <c r="B2775" s="88"/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</row>
    <row r="2776" spans="2:15">
      <c r="B2776" s="88"/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</row>
    <row r="2777" spans="2:15">
      <c r="B2777" s="88"/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</row>
    <row r="2778" spans="2:15">
      <c r="B2778" s="88"/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</row>
    <row r="2779" spans="2:15">
      <c r="B2779" s="88"/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</row>
    <row r="2780" spans="2:15">
      <c r="B2780" s="88"/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</row>
    <row r="2781" spans="2:15">
      <c r="B2781" s="88"/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</row>
    <row r="2782" spans="2:15">
      <c r="B2782" s="88"/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</row>
    <row r="2783" spans="2:15">
      <c r="B2783" s="88"/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</row>
    <row r="2784" spans="2:15">
      <c r="B2784" s="88"/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</row>
    <row r="2785" spans="2:15">
      <c r="B2785" s="88"/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</row>
    <row r="2786" spans="2:15">
      <c r="B2786" s="88"/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</row>
    <row r="2787" spans="2:15">
      <c r="B2787" s="88"/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</row>
    <row r="2788" spans="2:15">
      <c r="B2788" s="88"/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</row>
    <row r="2789" spans="2:15">
      <c r="B2789" s="88"/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</row>
    <row r="2790" spans="2:15">
      <c r="B2790" s="88"/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</row>
    <row r="2791" spans="2:15">
      <c r="B2791" s="88"/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</row>
    <row r="2792" spans="2:15">
      <c r="B2792" s="88"/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</row>
    <row r="2793" spans="2:15">
      <c r="B2793" s="88"/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</row>
    <row r="2794" spans="2:15">
      <c r="B2794" s="88"/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</row>
    <row r="2795" spans="2:15">
      <c r="B2795" s="88"/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</row>
    <row r="2796" spans="2:15">
      <c r="B2796" s="88"/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</row>
    <row r="2797" spans="2:15">
      <c r="B2797" s="88"/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</row>
    <row r="2798" spans="2:15">
      <c r="B2798" s="88"/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</row>
    <row r="2799" spans="2:15">
      <c r="B2799" s="88"/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</row>
    <row r="2800" spans="2:15">
      <c r="B2800" s="88"/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</row>
    <row r="2801" spans="2:15">
      <c r="B2801" s="88"/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</row>
    <row r="2802" spans="2:15">
      <c r="B2802" s="88"/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</row>
    <row r="2803" spans="2:15">
      <c r="B2803" s="88"/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</row>
    <row r="2804" spans="2:15">
      <c r="B2804" s="88"/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</row>
    <row r="2805" spans="2:15">
      <c r="B2805" s="88"/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</row>
    <row r="2806" spans="2:15">
      <c r="B2806" s="88"/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</row>
    <row r="2807" spans="2:15">
      <c r="B2807" s="88"/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</row>
    <row r="2808" spans="2:15">
      <c r="B2808" s="88"/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</row>
    <row r="2809" spans="2:15">
      <c r="B2809" s="88"/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</row>
    <row r="2810" spans="2:15">
      <c r="B2810" s="88"/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</row>
    <row r="2811" spans="2:15">
      <c r="B2811" s="88"/>
      <c r="C2811" s="86"/>
      <c r="D2811" s="86"/>
      <c r="E2811" s="86"/>
      <c r="F2811" s="86"/>
      <c r="G2811" s="86"/>
      <c r="H2811" s="86"/>
      <c r="I2811" s="86"/>
      <c r="J2811" s="86"/>
      <c r="K2811" s="86"/>
      <c r="L2811" s="86"/>
      <c r="M2811" s="86"/>
      <c r="N2811" s="86"/>
      <c r="O2811" s="86"/>
    </row>
    <row r="2812" spans="2:15">
      <c r="B2812" s="88"/>
      <c r="C2812" s="86"/>
      <c r="D2812" s="86"/>
      <c r="E2812" s="86"/>
      <c r="F2812" s="86"/>
      <c r="G2812" s="86"/>
      <c r="H2812" s="86"/>
      <c r="I2812" s="86"/>
      <c r="J2812" s="86"/>
      <c r="K2812" s="86"/>
      <c r="L2812" s="86"/>
      <c r="M2812" s="86"/>
      <c r="N2812" s="86"/>
      <c r="O2812" s="86"/>
    </row>
    <row r="2813" spans="2:15">
      <c r="B2813" s="88"/>
      <c r="C2813" s="86"/>
      <c r="D2813" s="86"/>
      <c r="E2813" s="86"/>
      <c r="F2813" s="86"/>
      <c r="G2813" s="86"/>
      <c r="H2813" s="86"/>
      <c r="I2813" s="86"/>
      <c r="J2813" s="86"/>
      <c r="K2813" s="86"/>
      <c r="L2813" s="86"/>
      <c r="M2813" s="86"/>
      <c r="N2813" s="86"/>
      <c r="O2813" s="86"/>
    </row>
    <row r="2814" spans="2:15">
      <c r="B2814" s="88"/>
      <c r="C2814" s="86"/>
      <c r="D2814" s="86"/>
      <c r="E2814" s="86"/>
      <c r="F2814" s="86"/>
      <c r="G2814" s="86"/>
      <c r="H2814" s="86"/>
      <c r="I2814" s="86"/>
      <c r="J2814" s="86"/>
      <c r="K2814" s="86"/>
      <c r="L2814" s="86"/>
      <c r="M2814" s="86"/>
      <c r="N2814" s="86"/>
      <c r="O2814" s="86"/>
    </row>
    <row r="2815" spans="2:15">
      <c r="B2815" s="88"/>
      <c r="C2815" s="86"/>
      <c r="D2815" s="86"/>
      <c r="E2815" s="86"/>
      <c r="F2815" s="86"/>
      <c r="G2815" s="86"/>
      <c r="H2815" s="86"/>
      <c r="I2815" s="86"/>
      <c r="J2815" s="86"/>
      <c r="K2815" s="86"/>
      <c r="L2815" s="86"/>
      <c r="M2815" s="86"/>
      <c r="N2815" s="86"/>
      <c r="O2815" s="86"/>
    </row>
    <row r="2816" spans="2:15">
      <c r="B2816" s="88"/>
      <c r="C2816" s="86"/>
      <c r="D2816" s="86"/>
      <c r="E2816" s="86"/>
      <c r="F2816" s="86"/>
      <c r="G2816" s="86"/>
      <c r="H2816" s="86"/>
      <c r="I2816" s="86"/>
      <c r="J2816" s="86"/>
      <c r="K2816" s="86"/>
      <c r="L2816" s="86"/>
      <c r="M2816" s="86"/>
      <c r="N2816" s="86"/>
      <c r="O2816" s="86"/>
    </row>
    <row r="2817" spans="2:15">
      <c r="B2817" s="88"/>
      <c r="C2817" s="86"/>
      <c r="D2817" s="86"/>
      <c r="E2817" s="86"/>
      <c r="F2817" s="86"/>
      <c r="G2817" s="86"/>
      <c r="H2817" s="86"/>
      <c r="I2817" s="86"/>
      <c r="J2817" s="86"/>
      <c r="K2817" s="86"/>
      <c r="L2817" s="86"/>
      <c r="M2817" s="86"/>
      <c r="N2817" s="86"/>
      <c r="O2817" s="86"/>
    </row>
    <row r="2818" spans="2:15">
      <c r="B2818" s="88"/>
      <c r="C2818" s="86"/>
      <c r="D2818" s="86"/>
      <c r="E2818" s="86"/>
      <c r="F2818" s="86"/>
      <c r="G2818" s="86"/>
      <c r="H2818" s="86"/>
      <c r="I2818" s="86"/>
      <c r="J2818" s="86"/>
      <c r="K2818" s="86"/>
      <c r="L2818" s="86"/>
      <c r="M2818" s="86"/>
      <c r="N2818" s="86"/>
      <c r="O2818" s="86"/>
    </row>
    <row r="2819" spans="2:15">
      <c r="B2819" s="88"/>
      <c r="C2819" s="86"/>
      <c r="D2819" s="86"/>
      <c r="E2819" s="86"/>
      <c r="F2819" s="86"/>
      <c r="G2819" s="86"/>
      <c r="H2819" s="86"/>
      <c r="I2819" s="86"/>
      <c r="J2819" s="86"/>
      <c r="K2819" s="86"/>
      <c r="L2819" s="86"/>
      <c r="M2819" s="86"/>
      <c r="N2819" s="86"/>
      <c r="O2819" s="86"/>
    </row>
    <row r="2820" spans="2:15">
      <c r="B2820" s="88"/>
      <c r="C2820" s="86"/>
      <c r="D2820" s="86"/>
      <c r="E2820" s="86"/>
      <c r="F2820" s="86"/>
      <c r="G2820" s="86"/>
      <c r="H2820" s="86"/>
      <c r="I2820" s="86"/>
      <c r="J2820" s="86"/>
      <c r="K2820" s="86"/>
      <c r="L2820" s="86"/>
      <c r="M2820" s="86"/>
      <c r="N2820" s="86"/>
      <c r="O2820" s="86"/>
    </row>
    <row r="2821" spans="2:15">
      <c r="B2821" s="88"/>
      <c r="C2821" s="86"/>
      <c r="D2821" s="86"/>
      <c r="E2821" s="86"/>
      <c r="F2821" s="86"/>
      <c r="G2821" s="86"/>
      <c r="H2821" s="86"/>
      <c r="I2821" s="86"/>
      <c r="J2821" s="86"/>
      <c r="K2821" s="86"/>
      <c r="L2821" s="86"/>
      <c r="M2821" s="86"/>
      <c r="N2821" s="86"/>
      <c r="O2821" s="86"/>
    </row>
    <row r="2822" spans="2:15">
      <c r="B2822" s="88"/>
      <c r="C2822" s="86"/>
      <c r="D2822" s="86"/>
      <c r="E2822" s="86"/>
      <c r="F2822" s="86"/>
      <c r="G2822" s="86"/>
      <c r="H2822" s="86"/>
      <c r="I2822" s="86"/>
      <c r="J2822" s="86"/>
      <c r="K2822" s="86"/>
      <c r="L2822" s="86"/>
      <c r="M2822" s="86"/>
      <c r="N2822" s="86"/>
      <c r="O2822" s="86"/>
    </row>
    <row r="2823" spans="2:15">
      <c r="B2823" s="88"/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</row>
    <row r="2824" spans="2:15">
      <c r="B2824" s="88"/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</row>
    <row r="2825" spans="2:15">
      <c r="B2825" s="88"/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</row>
    <row r="2826" spans="2:15">
      <c r="B2826" s="88"/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</row>
    <row r="2827" spans="2:15">
      <c r="B2827" s="88"/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</row>
    <row r="2828" spans="2:15">
      <c r="B2828" s="88"/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</row>
    <row r="2829" spans="2:15">
      <c r="B2829" s="88"/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</row>
    <row r="2830" spans="2:15">
      <c r="B2830" s="88"/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</row>
    <row r="2831" spans="2:15">
      <c r="B2831" s="88"/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</row>
    <row r="2832" spans="2:15">
      <c r="B2832" s="88"/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</row>
    <row r="2833" spans="2:15">
      <c r="B2833" s="88"/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</row>
    <row r="2834" spans="2:15">
      <c r="B2834" s="88"/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</row>
    <row r="2835" spans="2:15">
      <c r="B2835" s="88"/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</row>
    <row r="2836" spans="2:15">
      <c r="B2836" s="88"/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</row>
    <row r="2837" spans="2:15">
      <c r="B2837" s="88"/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</row>
    <row r="2838" spans="2:15">
      <c r="B2838" s="88"/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</row>
    <row r="2839" spans="2:15">
      <c r="B2839" s="88"/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</row>
    <row r="2840" spans="2:15">
      <c r="B2840" s="88"/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</row>
    <row r="2841" spans="2:15">
      <c r="B2841" s="88"/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</row>
    <row r="2842" spans="2:15">
      <c r="B2842" s="88"/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</row>
    <row r="2843" spans="2:15">
      <c r="B2843" s="88"/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</row>
    <row r="2844" spans="2:15">
      <c r="B2844" s="88"/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</row>
    <row r="2845" spans="2:15">
      <c r="B2845" s="88"/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</row>
    <row r="2846" spans="2:15">
      <c r="B2846" s="88"/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</row>
    <row r="2847" spans="2:15">
      <c r="B2847" s="88"/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</row>
    <row r="2848" spans="2:15">
      <c r="B2848" s="88"/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</row>
    <row r="2849" spans="2:15">
      <c r="B2849" s="88"/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</row>
    <row r="2850" spans="2:15">
      <c r="B2850" s="88"/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</row>
    <row r="2851" spans="2:15">
      <c r="B2851" s="88"/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</row>
    <row r="2852" spans="2:15">
      <c r="B2852" s="88"/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</row>
    <row r="2853" spans="2:15">
      <c r="B2853" s="88"/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</row>
    <row r="2854" spans="2:15">
      <c r="B2854" s="88"/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</row>
    <row r="2855" spans="2:15">
      <c r="B2855" s="88"/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</row>
    <row r="2856" spans="2:15">
      <c r="B2856" s="88"/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</row>
    <row r="2857" spans="2:15">
      <c r="B2857" s="88"/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</row>
    <row r="2858" spans="2:15">
      <c r="B2858" s="88"/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</row>
    <row r="2859" spans="2:15">
      <c r="B2859" s="88"/>
      <c r="C2859" s="86"/>
      <c r="D2859" s="86"/>
      <c r="E2859" s="86"/>
      <c r="F2859" s="86"/>
      <c r="G2859" s="86"/>
      <c r="H2859" s="86"/>
      <c r="I2859" s="86"/>
      <c r="J2859" s="86"/>
      <c r="K2859" s="86"/>
      <c r="L2859" s="86"/>
      <c r="M2859" s="86"/>
      <c r="N2859" s="86"/>
      <c r="O2859" s="86"/>
    </row>
    <row r="2860" spans="2:15">
      <c r="B2860" s="88"/>
      <c r="C2860" s="86"/>
      <c r="D2860" s="86"/>
      <c r="E2860" s="86"/>
      <c r="F2860" s="86"/>
      <c r="G2860" s="86"/>
      <c r="H2860" s="86"/>
      <c r="I2860" s="86"/>
      <c r="J2860" s="86"/>
      <c r="K2860" s="86"/>
      <c r="L2860" s="86"/>
      <c r="M2860" s="86"/>
      <c r="N2860" s="86"/>
      <c r="O2860" s="86"/>
    </row>
    <row r="2861" spans="2:15">
      <c r="B2861" s="88"/>
      <c r="C2861" s="86"/>
      <c r="D2861" s="86"/>
      <c r="E2861" s="86"/>
      <c r="F2861" s="86"/>
      <c r="G2861" s="86"/>
      <c r="H2861" s="86"/>
      <c r="I2861" s="86"/>
      <c r="J2861" s="86"/>
      <c r="K2861" s="86"/>
      <c r="L2861" s="86"/>
      <c r="M2861" s="86"/>
      <c r="N2861" s="86"/>
      <c r="O2861" s="86"/>
    </row>
    <row r="2862" spans="2:15">
      <c r="B2862" s="88"/>
      <c r="C2862" s="86"/>
      <c r="D2862" s="86"/>
      <c r="E2862" s="86"/>
      <c r="F2862" s="86"/>
      <c r="G2862" s="86"/>
      <c r="H2862" s="86"/>
      <c r="I2862" s="86"/>
      <c r="J2862" s="86"/>
      <c r="K2862" s="86"/>
      <c r="L2862" s="86"/>
      <c r="M2862" s="86"/>
      <c r="N2862" s="86"/>
      <c r="O2862" s="86"/>
    </row>
    <row r="2863" spans="2:15">
      <c r="B2863" s="88"/>
      <c r="C2863" s="86"/>
      <c r="D2863" s="86"/>
      <c r="E2863" s="86"/>
      <c r="F2863" s="86"/>
      <c r="G2863" s="86"/>
      <c r="H2863" s="86"/>
      <c r="I2863" s="86"/>
      <c r="J2863" s="86"/>
      <c r="K2863" s="86"/>
      <c r="L2863" s="86"/>
      <c r="M2863" s="86"/>
      <c r="N2863" s="86"/>
      <c r="O2863" s="86"/>
    </row>
    <row r="2864" spans="2:15">
      <c r="B2864" s="88"/>
      <c r="C2864" s="86"/>
      <c r="D2864" s="86"/>
      <c r="E2864" s="86"/>
      <c r="F2864" s="86"/>
      <c r="G2864" s="86"/>
      <c r="H2864" s="86"/>
      <c r="I2864" s="86"/>
      <c r="J2864" s="86"/>
      <c r="K2864" s="86"/>
      <c r="L2864" s="86"/>
      <c r="M2864" s="86"/>
      <c r="N2864" s="86"/>
      <c r="O2864" s="86"/>
    </row>
    <row r="2865" spans="2:15">
      <c r="B2865" s="88"/>
      <c r="C2865" s="86"/>
      <c r="D2865" s="86"/>
      <c r="E2865" s="86"/>
      <c r="F2865" s="86"/>
      <c r="G2865" s="86"/>
      <c r="H2865" s="86"/>
      <c r="I2865" s="86"/>
      <c r="J2865" s="86"/>
      <c r="K2865" s="86"/>
      <c r="L2865" s="86"/>
      <c r="M2865" s="86"/>
      <c r="N2865" s="86"/>
      <c r="O2865" s="86"/>
    </row>
    <row r="2866" spans="2:15">
      <c r="B2866" s="88"/>
      <c r="C2866" s="86"/>
      <c r="D2866" s="86"/>
      <c r="E2866" s="86"/>
      <c r="F2866" s="86"/>
      <c r="G2866" s="86"/>
      <c r="H2866" s="86"/>
      <c r="I2866" s="86"/>
      <c r="J2866" s="86"/>
      <c r="K2866" s="86"/>
      <c r="L2866" s="86"/>
      <c r="M2866" s="86"/>
      <c r="N2866" s="86"/>
      <c r="O2866" s="86"/>
    </row>
    <row r="2867" spans="2:15">
      <c r="B2867" s="88"/>
      <c r="C2867" s="86"/>
      <c r="D2867" s="86"/>
      <c r="E2867" s="86"/>
      <c r="F2867" s="86"/>
      <c r="G2867" s="86"/>
      <c r="H2867" s="86"/>
      <c r="I2867" s="86"/>
      <c r="J2867" s="86"/>
      <c r="K2867" s="86"/>
      <c r="L2867" s="86"/>
      <c r="M2867" s="86"/>
      <c r="N2867" s="86"/>
      <c r="O2867" s="86"/>
    </row>
    <row r="2868" spans="2:15">
      <c r="B2868" s="88"/>
      <c r="C2868" s="86"/>
      <c r="D2868" s="86"/>
      <c r="E2868" s="86"/>
      <c r="F2868" s="86"/>
      <c r="G2868" s="86"/>
      <c r="H2868" s="86"/>
      <c r="I2868" s="86"/>
      <c r="J2868" s="86"/>
      <c r="K2868" s="86"/>
      <c r="L2868" s="86"/>
      <c r="M2868" s="86"/>
      <c r="N2868" s="86"/>
      <c r="O2868" s="86"/>
    </row>
    <row r="2869" spans="2:15">
      <c r="B2869" s="88"/>
      <c r="C2869" s="86"/>
      <c r="D2869" s="86"/>
      <c r="E2869" s="86"/>
      <c r="F2869" s="86"/>
      <c r="G2869" s="86"/>
      <c r="H2869" s="86"/>
      <c r="I2869" s="86"/>
      <c r="J2869" s="86"/>
      <c r="K2869" s="86"/>
      <c r="L2869" s="86"/>
      <c r="M2869" s="86"/>
      <c r="N2869" s="86"/>
      <c r="O2869" s="86"/>
    </row>
    <row r="2870" spans="2:15">
      <c r="B2870" s="88"/>
      <c r="C2870" s="86"/>
      <c r="D2870" s="86"/>
      <c r="E2870" s="86"/>
      <c r="F2870" s="86"/>
      <c r="G2870" s="86"/>
      <c r="H2870" s="86"/>
      <c r="I2870" s="86"/>
      <c r="J2870" s="86"/>
      <c r="K2870" s="86"/>
      <c r="L2870" s="86"/>
      <c r="M2870" s="86"/>
      <c r="N2870" s="86"/>
      <c r="O2870" s="86"/>
    </row>
    <row r="2871" spans="2:15">
      <c r="B2871" s="88"/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</row>
    <row r="2872" spans="2:15">
      <c r="B2872" s="88"/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</row>
    <row r="2873" spans="2:15">
      <c r="B2873" s="88"/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</row>
    <row r="2874" spans="2:15">
      <c r="B2874" s="88"/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</row>
    <row r="2875" spans="2:15">
      <c r="B2875" s="88"/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</row>
    <row r="2876" spans="2:15">
      <c r="B2876" s="88"/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</row>
    <row r="2877" spans="2:15">
      <c r="B2877" s="88"/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</row>
    <row r="2878" spans="2:15">
      <c r="B2878" s="88"/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</row>
    <row r="2879" spans="2:15">
      <c r="B2879" s="88"/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</row>
    <row r="2880" spans="2:15">
      <c r="B2880" s="88"/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</row>
    <row r="2881" spans="2:15">
      <c r="B2881" s="88"/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</row>
    <row r="2882" spans="2:15">
      <c r="B2882" s="88"/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</row>
    <row r="2883" spans="2:15">
      <c r="B2883" s="88"/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</row>
    <row r="2884" spans="2:15">
      <c r="B2884" s="88"/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</row>
    <row r="2885" spans="2:15">
      <c r="B2885" s="88"/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</row>
    <row r="2886" spans="2:15">
      <c r="B2886" s="88"/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</row>
    <row r="2887" spans="2:15">
      <c r="B2887" s="88"/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</row>
    <row r="2888" spans="2:15">
      <c r="B2888" s="88"/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</row>
    <row r="2889" spans="2:15">
      <c r="B2889" s="88"/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</row>
    <row r="2890" spans="2:15">
      <c r="B2890" s="88"/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</row>
    <row r="2891" spans="2:15">
      <c r="B2891" s="88"/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</row>
    <row r="2892" spans="2:15">
      <c r="B2892" s="88"/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</row>
    <row r="2893" spans="2:15">
      <c r="B2893" s="88"/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</row>
    <row r="2894" spans="2:15">
      <c r="B2894" s="88"/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</row>
    <row r="2895" spans="2:15">
      <c r="B2895" s="88"/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</row>
    <row r="2896" spans="2:15">
      <c r="B2896" s="88"/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</row>
    <row r="2897" spans="2:15">
      <c r="B2897" s="88"/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</row>
    <row r="2898" spans="2:15">
      <c r="B2898" s="88"/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</row>
    <row r="2899" spans="2:15">
      <c r="B2899" s="88"/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</row>
    <row r="2900" spans="2:15">
      <c r="B2900" s="88"/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</row>
    <row r="2901" spans="2:15">
      <c r="B2901" s="88"/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</row>
    <row r="2902" spans="2:15">
      <c r="B2902" s="88"/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</row>
    <row r="2903" spans="2:15">
      <c r="B2903" s="88"/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</row>
    <row r="2904" spans="2:15">
      <c r="B2904" s="88"/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</row>
    <row r="2905" spans="2:15">
      <c r="B2905" s="88"/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</row>
    <row r="2906" spans="2:15">
      <c r="B2906" s="88"/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</row>
    <row r="2907" spans="2:15">
      <c r="B2907" s="88"/>
      <c r="C2907" s="86"/>
      <c r="D2907" s="86"/>
      <c r="E2907" s="86"/>
      <c r="F2907" s="86"/>
      <c r="G2907" s="86"/>
      <c r="H2907" s="86"/>
      <c r="I2907" s="86"/>
      <c r="J2907" s="86"/>
      <c r="K2907" s="86"/>
      <c r="L2907" s="86"/>
      <c r="M2907" s="86"/>
      <c r="N2907" s="86"/>
      <c r="O2907" s="86"/>
    </row>
    <row r="2908" spans="2:15">
      <c r="B2908" s="88"/>
      <c r="C2908" s="86"/>
      <c r="D2908" s="86"/>
      <c r="E2908" s="86"/>
      <c r="F2908" s="86"/>
      <c r="G2908" s="86"/>
      <c r="H2908" s="86"/>
      <c r="I2908" s="86"/>
      <c r="J2908" s="86"/>
      <c r="K2908" s="86"/>
      <c r="L2908" s="86"/>
      <c r="M2908" s="86"/>
      <c r="N2908" s="86"/>
      <c r="O2908" s="86"/>
    </row>
    <row r="2909" spans="2:15">
      <c r="B2909" s="88"/>
      <c r="C2909" s="86"/>
      <c r="D2909" s="86"/>
      <c r="E2909" s="86"/>
      <c r="F2909" s="86"/>
      <c r="G2909" s="86"/>
      <c r="H2909" s="86"/>
      <c r="I2909" s="86"/>
      <c r="J2909" s="86"/>
      <c r="K2909" s="86"/>
      <c r="L2909" s="86"/>
      <c r="M2909" s="86"/>
      <c r="N2909" s="86"/>
      <c r="O2909" s="86"/>
    </row>
    <row r="2910" spans="2:15">
      <c r="B2910" s="88"/>
      <c r="C2910" s="86"/>
      <c r="D2910" s="86"/>
      <c r="E2910" s="86"/>
      <c r="F2910" s="86"/>
      <c r="G2910" s="86"/>
      <c r="H2910" s="86"/>
      <c r="I2910" s="86"/>
      <c r="J2910" s="86"/>
      <c r="K2910" s="86"/>
      <c r="L2910" s="86"/>
      <c r="M2910" s="86"/>
      <c r="N2910" s="86"/>
      <c r="O2910" s="86"/>
    </row>
    <row r="2911" spans="2:15">
      <c r="B2911" s="88"/>
      <c r="C2911" s="86"/>
      <c r="D2911" s="86"/>
      <c r="E2911" s="86"/>
      <c r="F2911" s="86"/>
      <c r="G2911" s="86"/>
      <c r="H2911" s="86"/>
      <c r="I2911" s="86"/>
      <c r="J2911" s="86"/>
      <c r="K2911" s="86"/>
      <c r="L2911" s="86"/>
      <c r="M2911" s="86"/>
      <c r="N2911" s="86"/>
      <c r="O2911" s="86"/>
    </row>
    <row r="2912" spans="2:15">
      <c r="B2912" s="88"/>
      <c r="C2912" s="86"/>
      <c r="D2912" s="86"/>
      <c r="E2912" s="86"/>
      <c r="F2912" s="86"/>
      <c r="G2912" s="86"/>
      <c r="H2912" s="86"/>
      <c r="I2912" s="86"/>
      <c r="J2912" s="86"/>
      <c r="K2912" s="86"/>
      <c r="L2912" s="86"/>
      <c r="M2912" s="86"/>
      <c r="N2912" s="86"/>
      <c r="O2912" s="86"/>
    </row>
    <row r="2913" spans="2:15">
      <c r="B2913" s="88"/>
      <c r="C2913" s="86"/>
      <c r="D2913" s="86"/>
      <c r="E2913" s="86"/>
      <c r="F2913" s="86"/>
      <c r="G2913" s="86"/>
      <c r="H2913" s="86"/>
      <c r="I2913" s="86"/>
      <c r="J2913" s="86"/>
      <c r="K2913" s="86"/>
      <c r="L2913" s="86"/>
      <c r="M2913" s="86"/>
      <c r="N2913" s="86"/>
      <c r="O2913" s="86"/>
    </row>
    <row r="2914" spans="2:15">
      <c r="B2914" s="88"/>
      <c r="C2914" s="86"/>
      <c r="D2914" s="86"/>
      <c r="E2914" s="86"/>
      <c r="F2914" s="86"/>
      <c r="G2914" s="86"/>
      <c r="H2914" s="86"/>
      <c r="I2914" s="86"/>
      <c r="J2914" s="86"/>
      <c r="K2914" s="86"/>
      <c r="L2914" s="86"/>
      <c r="M2914" s="86"/>
      <c r="N2914" s="86"/>
      <c r="O2914" s="86"/>
    </row>
    <row r="2915" spans="2:15">
      <c r="B2915" s="88"/>
      <c r="C2915" s="86"/>
      <c r="D2915" s="86"/>
      <c r="E2915" s="86"/>
      <c r="F2915" s="86"/>
      <c r="G2915" s="86"/>
      <c r="H2915" s="86"/>
      <c r="I2915" s="86"/>
      <c r="J2915" s="86"/>
      <c r="K2915" s="86"/>
      <c r="L2915" s="86"/>
      <c r="M2915" s="86"/>
      <c r="N2915" s="86"/>
      <c r="O2915" s="86"/>
    </row>
    <row r="2916" spans="2:15">
      <c r="B2916" s="88"/>
      <c r="C2916" s="86"/>
      <c r="D2916" s="86"/>
      <c r="E2916" s="86"/>
      <c r="F2916" s="86"/>
      <c r="G2916" s="86"/>
      <c r="H2916" s="86"/>
      <c r="I2916" s="86"/>
      <c r="J2916" s="86"/>
      <c r="K2916" s="86"/>
      <c r="L2916" s="86"/>
      <c r="M2916" s="86"/>
      <c r="N2916" s="86"/>
      <c r="O2916" s="86"/>
    </row>
    <row r="2917" spans="2:15">
      <c r="B2917" s="88"/>
      <c r="C2917" s="86"/>
      <c r="D2917" s="86"/>
      <c r="E2917" s="86"/>
      <c r="F2917" s="86"/>
      <c r="G2917" s="86"/>
      <c r="H2917" s="86"/>
      <c r="I2917" s="86"/>
      <c r="J2917" s="86"/>
      <c r="K2917" s="86"/>
      <c r="L2917" s="86"/>
      <c r="M2917" s="86"/>
      <c r="N2917" s="86"/>
      <c r="O2917" s="86"/>
    </row>
    <row r="2918" spans="2:15">
      <c r="B2918" s="88"/>
      <c r="C2918" s="86"/>
      <c r="D2918" s="86"/>
      <c r="E2918" s="86"/>
      <c r="F2918" s="86"/>
      <c r="G2918" s="86"/>
      <c r="H2918" s="86"/>
      <c r="I2918" s="86"/>
      <c r="J2918" s="86"/>
      <c r="K2918" s="86"/>
      <c r="L2918" s="86"/>
      <c r="M2918" s="86"/>
      <c r="N2918" s="86"/>
      <c r="O2918" s="86"/>
    </row>
    <row r="2919" spans="2:15">
      <c r="B2919" s="88"/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</row>
    <row r="2920" spans="2:15">
      <c r="B2920" s="88"/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</row>
    <row r="2921" spans="2:15">
      <c r="B2921" s="88"/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</row>
    <row r="2922" spans="2:15">
      <c r="B2922" s="88"/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</row>
    <row r="2923" spans="2:15">
      <c r="B2923" s="88"/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</row>
    <row r="2924" spans="2:15">
      <c r="B2924" s="88"/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</row>
    <row r="2925" spans="2:15">
      <c r="B2925" s="88"/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</row>
    <row r="2926" spans="2:15">
      <c r="B2926" s="88"/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</row>
    <row r="2927" spans="2:15">
      <c r="B2927" s="88"/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</row>
    <row r="2928" spans="2:15">
      <c r="B2928" s="88"/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</row>
    <row r="2929" spans="2:15">
      <c r="B2929" s="88"/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</row>
    <row r="2930" spans="2:15">
      <c r="B2930" s="88"/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</row>
    <row r="2931" spans="2:15">
      <c r="B2931" s="88"/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</row>
    <row r="2932" spans="2:15">
      <c r="B2932" s="88"/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</row>
    <row r="2933" spans="2:15">
      <c r="B2933" s="88"/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</row>
    <row r="2934" spans="2:15">
      <c r="B2934" s="88"/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</row>
    <row r="2935" spans="2:15">
      <c r="B2935" s="88"/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</row>
    <row r="2936" spans="2:15">
      <c r="B2936" s="88"/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</row>
    <row r="2937" spans="2:15">
      <c r="B2937" s="88"/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</row>
    <row r="2938" spans="2:15">
      <c r="B2938" s="88"/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</row>
    <row r="2939" spans="2:15">
      <c r="B2939" s="88"/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</row>
    <row r="2940" spans="2:15">
      <c r="B2940" s="88"/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</row>
    <row r="2941" spans="2:15">
      <c r="B2941" s="88"/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</row>
    <row r="2942" spans="2:15">
      <c r="B2942" s="88"/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</row>
    <row r="2943" spans="2:15">
      <c r="B2943" s="88"/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</row>
    <row r="2944" spans="2:15">
      <c r="B2944" s="88"/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</row>
    <row r="2945" spans="2:15">
      <c r="B2945" s="88"/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</row>
    <row r="2946" spans="2:15">
      <c r="B2946" s="88"/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</row>
    <row r="2947" spans="2:15">
      <c r="B2947" s="88"/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</row>
    <row r="2948" spans="2:15">
      <c r="B2948" s="88"/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</row>
    <row r="2949" spans="2:15">
      <c r="B2949" s="88"/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</row>
    <row r="2950" spans="2:15">
      <c r="B2950" s="88"/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</row>
    <row r="2951" spans="2:15">
      <c r="B2951" s="88"/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</row>
    <row r="2952" spans="2:15">
      <c r="B2952" s="88"/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</row>
    <row r="2953" spans="2:15">
      <c r="B2953" s="88"/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</row>
    <row r="2954" spans="2:15">
      <c r="B2954" s="88"/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</row>
    <row r="2955" spans="2:15">
      <c r="B2955" s="88"/>
      <c r="C2955" s="86"/>
      <c r="D2955" s="86"/>
      <c r="E2955" s="86"/>
      <c r="F2955" s="86"/>
      <c r="G2955" s="86"/>
      <c r="H2955" s="86"/>
      <c r="I2955" s="86"/>
      <c r="J2955" s="86"/>
      <c r="K2955" s="86"/>
      <c r="L2955" s="86"/>
      <c r="M2955" s="86"/>
      <c r="N2955" s="86"/>
      <c r="O2955" s="86"/>
    </row>
    <row r="2956" spans="2:15">
      <c r="B2956" s="88"/>
      <c r="C2956" s="86"/>
      <c r="D2956" s="86"/>
      <c r="E2956" s="86"/>
      <c r="F2956" s="86"/>
      <c r="G2956" s="86"/>
      <c r="H2956" s="86"/>
      <c r="I2956" s="86"/>
      <c r="J2956" s="86"/>
      <c r="K2956" s="86"/>
      <c r="L2956" s="86"/>
      <c r="M2956" s="86"/>
      <c r="N2956" s="86"/>
      <c r="O2956" s="86"/>
    </row>
    <row r="2957" spans="2:15">
      <c r="B2957" s="88"/>
      <c r="C2957" s="86"/>
      <c r="D2957" s="86"/>
      <c r="E2957" s="86"/>
      <c r="F2957" s="86"/>
      <c r="G2957" s="86"/>
      <c r="H2957" s="86"/>
      <c r="I2957" s="86"/>
      <c r="J2957" s="86"/>
      <c r="K2957" s="86"/>
      <c r="L2957" s="86"/>
      <c r="M2957" s="86"/>
      <c r="N2957" s="86"/>
      <c r="O2957" s="86"/>
    </row>
    <row r="2958" spans="2:15">
      <c r="B2958" s="88"/>
      <c r="C2958" s="86"/>
      <c r="D2958" s="86"/>
      <c r="E2958" s="86"/>
      <c r="F2958" s="86"/>
      <c r="G2958" s="86"/>
      <c r="H2958" s="86"/>
      <c r="I2958" s="86"/>
      <c r="J2958" s="86"/>
      <c r="K2958" s="86"/>
      <c r="L2958" s="86"/>
      <c r="M2958" s="86"/>
      <c r="N2958" s="86"/>
      <c r="O2958" s="86"/>
    </row>
    <row r="2959" spans="2:15">
      <c r="B2959" s="88"/>
      <c r="C2959" s="86"/>
      <c r="D2959" s="86"/>
      <c r="E2959" s="86"/>
      <c r="F2959" s="86"/>
      <c r="G2959" s="86"/>
      <c r="H2959" s="86"/>
      <c r="I2959" s="86"/>
      <c r="J2959" s="86"/>
      <c r="K2959" s="86"/>
      <c r="L2959" s="86"/>
      <c r="M2959" s="86"/>
      <c r="N2959" s="86"/>
      <c r="O2959" s="86"/>
    </row>
    <row r="2960" spans="2:15">
      <c r="B2960" s="88"/>
      <c r="C2960" s="86"/>
      <c r="D2960" s="86"/>
      <c r="E2960" s="86"/>
      <c r="F2960" s="86"/>
      <c r="G2960" s="86"/>
      <c r="H2960" s="86"/>
      <c r="I2960" s="86"/>
      <c r="J2960" s="86"/>
      <c r="K2960" s="86"/>
      <c r="L2960" s="86"/>
      <c r="M2960" s="86"/>
      <c r="N2960" s="86"/>
      <c r="O2960" s="86"/>
    </row>
    <row r="2961" spans="2:15">
      <c r="B2961" s="88"/>
      <c r="C2961" s="86"/>
      <c r="D2961" s="86"/>
      <c r="E2961" s="86"/>
      <c r="F2961" s="86"/>
      <c r="G2961" s="86"/>
      <c r="H2961" s="86"/>
      <c r="I2961" s="86"/>
      <c r="J2961" s="86"/>
      <c r="K2961" s="86"/>
      <c r="L2961" s="86"/>
      <c r="M2961" s="86"/>
      <c r="N2961" s="86"/>
      <c r="O2961" s="86"/>
    </row>
    <row r="2962" spans="2:15">
      <c r="B2962" s="88"/>
      <c r="C2962" s="86"/>
      <c r="D2962" s="86"/>
      <c r="E2962" s="86"/>
      <c r="F2962" s="86"/>
      <c r="G2962" s="86"/>
      <c r="H2962" s="86"/>
      <c r="I2962" s="86"/>
      <c r="J2962" s="86"/>
      <c r="K2962" s="86"/>
      <c r="L2962" s="86"/>
      <c r="M2962" s="86"/>
      <c r="N2962" s="86"/>
      <c r="O2962" s="86"/>
    </row>
    <row r="2963" spans="2:15">
      <c r="B2963" s="88"/>
      <c r="C2963" s="86"/>
      <c r="D2963" s="86"/>
      <c r="E2963" s="86"/>
      <c r="F2963" s="86"/>
      <c r="G2963" s="86"/>
      <c r="H2963" s="86"/>
      <c r="I2963" s="86"/>
      <c r="J2963" s="86"/>
      <c r="K2963" s="86"/>
      <c r="L2963" s="86"/>
      <c r="M2963" s="86"/>
      <c r="N2963" s="86"/>
      <c r="O2963" s="86"/>
    </row>
    <row r="2964" spans="2:15">
      <c r="B2964" s="88"/>
      <c r="C2964" s="86"/>
      <c r="D2964" s="86"/>
      <c r="E2964" s="86"/>
      <c r="F2964" s="86"/>
      <c r="G2964" s="86"/>
      <c r="H2964" s="86"/>
      <c r="I2964" s="86"/>
      <c r="J2964" s="86"/>
      <c r="K2964" s="86"/>
      <c r="L2964" s="86"/>
      <c r="M2964" s="86"/>
      <c r="N2964" s="86"/>
      <c r="O2964" s="86"/>
    </row>
    <row r="2965" spans="2:15">
      <c r="B2965" s="88"/>
      <c r="C2965" s="86"/>
      <c r="D2965" s="86"/>
      <c r="E2965" s="86"/>
      <c r="F2965" s="86"/>
      <c r="G2965" s="86"/>
      <c r="H2965" s="86"/>
      <c r="I2965" s="86"/>
      <c r="J2965" s="86"/>
      <c r="K2965" s="86"/>
      <c r="L2965" s="86"/>
      <c r="M2965" s="86"/>
      <c r="N2965" s="86"/>
      <c r="O2965" s="86"/>
    </row>
    <row r="2966" spans="2:15">
      <c r="B2966" s="88"/>
      <c r="C2966" s="86"/>
      <c r="D2966" s="86"/>
      <c r="E2966" s="86"/>
      <c r="F2966" s="86"/>
      <c r="G2966" s="86"/>
      <c r="H2966" s="86"/>
      <c r="I2966" s="86"/>
      <c r="J2966" s="86"/>
      <c r="K2966" s="86"/>
      <c r="L2966" s="86"/>
      <c r="M2966" s="86"/>
      <c r="N2966" s="86"/>
      <c r="O2966" s="86"/>
    </row>
    <row r="2967" spans="2:15">
      <c r="B2967" s="88"/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</row>
    <row r="2968" spans="2:15">
      <c r="B2968" s="88"/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</row>
    <row r="2969" spans="2:15">
      <c r="B2969" s="88"/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</row>
    <row r="2970" spans="2:15">
      <c r="B2970" s="88"/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</row>
    <row r="2971" spans="2:15">
      <c r="B2971" s="88"/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</row>
    <row r="2972" spans="2:15">
      <c r="B2972" s="88"/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</row>
    <row r="2973" spans="2:15">
      <c r="B2973" s="88"/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</row>
    <row r="2974" spans="2:15">
      <c r="B2974" s="88"/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</row>
    <row r="2975" spans="2:15">
      <c r="B2975" s="88"/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</row>
    <row r="2976" spans="2:15">
      <c r="B2976" s="88"/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</row>
    <row r="2977" spans="2:15">
      <c r="B2977" s="88"/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</row>
    <row r="2978" spans="2:15">
      <c r="B2978" s="88"/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</row>
    <row r="2979" spans="2:15">
      <c r="B2979" s="88"/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</row>
    <row r="2980" spans="2:15">
      <c r="B2980" s="88"/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</row>
    <row r="2981" spans="2:15">
      <c r="B2981" s="88"/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</row>
    <row r="2982" spans="2:15">
      <c r="B2982" s="88"/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</row>
    <row r="2983" spans="2:15">
      <c r="B2983" s="88"/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</row>
    <row r="2984" spans="2:15">
      <c r="B2984" s="88"/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</row>
    <row r="2985" spans="2:15">
      <c r="B2985" s="88"/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</row>
    <row r="2986" spans="2:15">
      <c r="B2986" s="88"/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</row>
    <row r="2987" spans="2:15">
      <c r="B2987" s="88"/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</row>
    <row r="2988" spans="2:15">
      <c r="B2988" s="88"/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</row>
    <row r="2989" spans="2:15">
      <c r="B2989" s="88"/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</row>
    <row r="2990" spans="2:15">
      <c r="B2990" s="88"/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</row>
    <row r="2991" spans="2:15">
      <c r="B2991" s="88"/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</row>
    <row r="2992" spans="2:15">
      <c r="B2992" s="88"/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</row>
    <row r="2993" spans="2:15">
      <c r="B2993" s="88"/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</row>
    <row r="2994" spans="2:15">
      <c r="B2994" s="88"/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</row>
    <row r="2995" spans="2:15">
      <c r="B2995" s="88"/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</row>
    <row r="2996" spans="2:15">
      <c r="B2996" s="88"/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</row>
    <row r="2997" spans="2:15">
      <c r="B2997" s="88"/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</row>
    <row r="2998" spans="2:15">
      <c r="B2998" s="88"/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</row>
    <row r="2999" spans="2:15">
      <c r="B2999" s="88"/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</row>
    <row r="3000" spans="2:15">
      <c r="B3000" s="88"/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</row>
    <row r="3001" spans="2:15">
      <c r="B3001" s="88"/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</row>
    <row r="3002" spans="2:15">
      <c r="B3002" s="88"/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</row>
    <row r="3003" spans="2:15">
      <c r="B3003" s="88"/>
      <c r="C3003" s="86"/>
      <c r="D3003" s="86"/>
      <c r="E3003" s="86"/>
      <c r="F3003" s="86"/>
      <c r="G3003" s="86"/>
      <c r="H3003" s="86"/>
      <c r="I3003" s="86"/>
      <c r="J3003" s="86"/>
      <c r="K3003" s="86"/>
      <c r="L3003" s="86"/>
      <c r="M3003" s="86"/>
      <c r="N3003" s="86"/>
      <c r="O3003" s="86"/>
    </row>
    <row r="3004" spans="2:15">
      <c r="B3004" s="88"/>
      <c r="C3004" s="86"/>
      <c r="D3004" s="86"/>
      <c r="E3004" s="86"/>
      <c r="F3004" s="86"/>
      <c r="G3004" s="86"/>
      <c r="H3004" s="86"/>
      <c r="I3004" s="86"/>
      <c r="J3004" s="86"/>
      <c r="K3004" s="86"/>
      <c r="L3004" s="86"/>
      <c r="M3004" s="86"/>
      <c r="N3004" s="86"/>
      <c r="O3004" s="86"/>
    </row>
    <row r="3005" spans="2:15">
      <c r="B3005" s="88"/>
      <c r="C3005" s="86"/>
      <c r="D3005" s="86"/>
      <c r="E3005" s="86"/>
      <c r="F3005" s="86"/>
      <c r="G3005" s="86"/>
      <c r="H3005" s="86"/>
      <c r="I3005" s="86"/>
      <c r="J3005" s="86"/>
      <c r="K3005" s="86"/>
      <c r="L3005" s="86"/>
      <c r="M3005" s="86"/>
      <c r="N3005" s="86"/>
      <c r="O3005" s="86"/>
    </row>
    <row r="3006" spans="2:15">
      <c r="B3006" s="88"/>
      <c r="C3006" s="86"/>
      <c r="D3006" s="86"/>
      <c r="E3006" s="86"/>
      <c r="F3006" s="86"/>
      <c r="G3006" s="86"/>
      <c r="H3006" s="86"/>
      <c r="I3006" s="86"/>
      <c r="J3006" s="86"/>
      <c r="K3006" s="86"/>
      <c r="L3006" s="86"/>
      <c r="M3006" s="86"/>
      <c r="N3006" s="86"/>
      <c r="O3006" s="86"/>
    </row>
    <row r="3007" spans="2:15">
      <c r="B3007" s="88"/>
      <c r="C3007" s="86"/>
      <c r="D3007" s="86"/>
      <c r="E3007" s="86"/>
      <c r="F3007" s="86"/>
      <c r="G3007" s="86"/>
      <c r="H3007" s="86"/>
      <c r="I3007" s="86"/>
      <c r="J3007" s="86"/>
      <c r="K3007" s="86"/>
      <c r="L3007" s="86"/>
      <c r="M3007" s="86"/>
      <c r="N3007" s="86"/>
      <c r="O3007" s="86"/>
    </row>
    <row r="3008" spans="2:15">
      <c r="B3008" s="88"/>
      <c r="C3008" s="86"/>
      <c r="D3008" s="86"/>
      <c r="E3008" s="86"/>
      <c r="F3008" s="86"/>
      <c r="G3008" s="86"/>
      <c r="H3008" s="86"/>
      <c r="I3008" s="86"/>
      <c r="J3008" s="86"/>
      <c r="K3008" s="86"/>
      <c r="L3008" s="86"/>
      <c r="M3008" s="86"/>
      <c r="N3008" s="86"/>
      <c r="O3008" s="86"/>
    </row>
    <row r="3009" spans="2:15">
      <c r="B3009" s="88"/>
      <c r="C3009" s="86"/>
      <c r="D3009" s="86"/>
      <c r="E3009" s="86"/>
      <c r="F3009" s="86"/>
      <c r="G3009" s="86"/>
      <c r="H3009" s="86"/>
      <c r="I3009" s="86"/>
      <c r="J3009" s="86"/>
      <c r="K3009" s="86"/>
      <c r="L3009" s="86"/>
      <c r="M3009" s="86"/>
      <c r="N3009" s="86"/>
      <c r="O3009" s="86"/>
    </row>
    <row r="3010" spans="2:15">
      <c r="B3010" s="88"/>
      <c r="C3010" s="86"/>
      <c r="D3010" s="86"/>
      <c r="E3010" s="86"/>
      <c r="F3010" s="86"/>
      <c r="G3010" s="86"/>
      <c r="H3010" s="86"/>
      <c r="I3010" s="86"/>
      <c r="J3010" s="86"/>
      <c r="K3010" s="86"/>
      <c r="L3010" s="86"/>
      <c r="M3010" s="86"/>
      <c r="N3010" s="86"/>
      <c r="O3010" s="86"/>
    </row>
    <row r="3011" spans="2:15">
      <c r="B3011" s="88"/>
      <c r="C3011" s="86"/>
      <c r="D3011" s="86"/>
      <c r="E3011" s="86"/>
      <c r="F3011" s="86"/>
      <c r="G3011" s="86"/>
      <c r="H3011" s="86"/>
      <c r="I3011" s="86"/>
      <c r="J3011" s="86"/>
      <c r="K3011" s="86"/>
      <c r="L3011" s="86"/>
      <c r="M3011" s="86"/>
      <c r="N3011" s="86"/>
      <c r="O3011" s="86"/>
    </row>
    <row r="3012" spans="2:15">
      <c r="B3012" s="88"/>
      <c r="C3012" s="86"/>
      <c r="D3012" s="86"/>
      <c r="E3012" s="86"/>
      <c r="F3012" s="86"/>
      <c r="G3012" s="86"/>
      <c r="H3012" s="86"/>
      <c r="I3012" s="86"/>
      <c r="J3012" s="86"/>
      <c r="K3012" s="86"/>
      <c r="L3012" s="86"/>
      <c r="M3012" s="86"/>
      <c r="N3012" s="86"/>
      <c r="O3012" s="86"/>
    </row>
    <row r="3013" spans="2:15">
      <c r="B3013" s="88"/>
      <c r="C3013" s="86"/>
      <c r="D3013" s="86"/>
      <c r="E3013" s="86"/>
      <c r="F3013" s="86"/>
      <c r="G3013" s="86"/>
      <c r="H3013" s="86"/>
      <c r="I3013" s="86"/>
      <c r="J3013" s="86"/>
      <c r="K3013" s="86"/>
      <c r="L3013" s="86"/>
      <c r="M3013" s="86"/>
      <c r="N3013" s="86"/>
      <c r="O3013" s="86"/>
    </row>
    <row r="3014" spans="2:15">
      <c r="B3014" s="88"/>
      <c r="C3014" s="86"/>
      <c r="D3014" s="86"/>
      <c r="E3014" s="86"/>
      <c r="F3014" s="86"/>
      <c r="G3014" s="86"/>
      <c r="H3014" s="86"/>
      <c r="I3014" s="86"/>
      <c r="J3014" s="86"/>
      <c r="K3014" s="86"/>
      <c r="L3014" s="86"/>
      <c r="M3014" s="86"/>
      <c r="N3014" s="86"/>
      <c r="O3014" s="86"/>
    </row>
    <row r="3015" spans="2:15">
      <c r="B3015" s="88"/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</row>
    <row r="3016" spans="2:15">
      <c r="B3016" s="88"/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</row>
    <row r="3017" spans="2:15">
      <c r="B3017" s="88"/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</row>
    <row r="3018" spans="2:15">
      <c r="B3018" s="88"/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</row>
    <row r="3019" spans="2:15">
      <c r="B3019" s="88"/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</row>
    <row r="3020" spans="2:15">
      <c r="B3020" s="88"/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</row>
    <row r="3021" spans="2:15">
      <c r="B3021" s="88"/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</row>
    <row r="3022" spans="2:15">
      <c r="B3022" s="88"/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</row>
    <row r="3023" spans="2:15">
      <c r="B3023" s="88"/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</row>
    <row r="3024" spans="2:15">
      <c r="B3024" s="88"/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</row>
    <row r="3025" spans="2:15">
      <c r="B3025" s="88"/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</row>
    <row r="3026" spans="2:15">
      <c r="B3026" s="88"/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</row>
    <row r="3027" spans="2:15">
      <c r="B3027" s="88"/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</row>
    <row r="3028" spans="2:15">
      <c r="B3028" s="88"/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</row>
    <row r="3029" spans="2:15">
      <c r="B3029" s="88"/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</row>
    <row r="3030" spans="2:15">
      <c r="B3030" s="88"/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</row>
    <row r="3031" spans="2:15">
      <c r="B3031" s="88"/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</row>
    <row r="3032" spans="2:15">
      <c r="B3032" s="88"/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</row>
    <row r="3033" spans="2:15">
      <c r="B3033" s="88"/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</row>
    <row r="3034" spans="2:15">
      <c r="B3034" s="88"/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</row>
    <row r="3035" spans="2:15">
      <c r="B3035" s="88"/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</row>
    <row r="3036" spans="2:15">
      <c r="B3036" s="88"/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</row>
    <row r="3037" spans="2:15">
      <c r="B3037" s="88"/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</row>
    <row r="3038" spans="2:15">
      <c r="B3038" s="88"/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</row>
    <row r="3039" spans="2:15">
      <c r="B3039" s="88"/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</row>
    <row r="3040" spans="2:15">
      <c r="B3040" s="88"/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</row>
    <row r="3041" spans="2:15">
      <c r="B3041" s="88"/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</row>
    <row r="3042" spans="2:15">
      <c r="B3042" s="88"/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</row>
    <row r="3043" spans="2:15">
      <c r="B3043" s="88"/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</row>
    <row r="3044" spans="2:15">
      <c r="B3044" s="88"/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</row>
    <row r="3045" spans="2:15">
      <c r="B3045" s="88"/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</row>
    <row r="3046" spans="2:15">
      <c r="B3046" s="88"/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</row>
    <row r="3047" spans="2:15">
      <c r="B3047" s="88"/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</row>
    <row r="3048" spans="2:15">
      <c r="B3048" s="88"/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</row>
    <row r="3049" spans="2:15">
      <c r="B3049" s="88"/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</row>
    <row r="3050" spans="2:15">
      <c r="B3050" s="88"/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</row>
    <row r="3051" spans="2:15">
      <c r="B3051" s="88"/>
      <c r="C3051" s="86"/>
      <c r="D3051" s="86"/>
      <c r="E3051" s="86"/>
      <c r="F3051" s="86"/>
      <c r="G3051" s="86"/>
      <c r="H3051" s="86"/>
      <c r="I3051" s="86"/>
      <c r="J3051" s="86"/>
      <c r="K3051" s="86"/>
      <c r="L3051" s="86"/>
      <c r="M3051" s="86"/>
      <c r="N3051" s="86"/>
      <c r="O3051" s="86"/>
    </row>
    <row r="3052" spans="2:15">
      <c r="B3052" s="88"/>
      <c r="C3052" s="86"/>
      <c r="D3052" s="86"/>
      <c r="E3052" s="86"/>
      <c r="F3052" s="86"/>
      <c r="G3052" s="86"/>
      <c r="H3052" s="86"/>
      <c r="I3052" s="86"/>
      <c r="J3052" s="86"/>
      <c r="K3052" s="86"/>
      <c r="L3052" s="86"/>
      <c r="M3052" s="86"/>
      <c r="N3052" s="86"/>
      <c r="O3052" s="86"/>
    </row>
    <row r="3053" spans="2:15">
      <c r="B3053" s="88"/>
      <c r="C3053" s="86"/>
      <c r="D3053" s="86"/>
      <c r="E3053" s="86"/>
      <c r="F3053" s="86"/>
      <c r="G3053" s="86"/>
      <c r="H3053" s="86"/>
      <c r="I3053" s="86"/>
      <c r="J3053" s="86"/>
      <c r="K3053" s="86"/>
      <c r="L3053" s="86"/>
      <c r="M3053" s="86"/>
      <c r="N3053" s="86"/>
      <c r="O3053" s="86"/>
    </row>
    <row r="3054" spans="2:15">
      <c r="B3054" s="88"/>
      <c r="C3054" s="86"/>
      <c r="D3054" s="86"/>
      <c r="E3054" s="86"/>
      <c r="F3054" s="86"/>
      <c r="G3054" s="86"/>
      <c r="H3054" s="86"/>
      <c r="I3054" s="86"/>
      <c r="J3054" s="86"/>
      <c r="K3054" s="86"/>
      <c r="L3054" s="86"/>
      <c r="M3054" s="86"/>
      <c r="N3054" s="86"/>
      <c r="O3054" s="86"/>
    </row>
    <row r="3055" spans="2:15">
      <c r="B3055" s="88"/>
      <c r="C3055" s="86"/>
      <c r="D3055" s="86"/>
      <c r="E3055" s="86"/>
      <c r="F3055" s="86"/>
      <c r="G3055" s="86"/>
      <c r="H3055" s="86"/>
      <c r="I3055" s="86"/>
      <c r="J3055" s="86"/>
      <c r="K3055" s="86"/>
      <c r="L3055" s="86"/>
      <c r="M3055" s="86"/>
      <c r="N3055" s="86"/>
      <c r="O3055" s="86"/>
    </row>
    <row r="3056" spans="2:15">
      <c r="B3056" s="88"/>
      <c r="C3056" s="86"/>
      <c r="D3056" s="86"/>
      <c r="E3056" s="86"/>
      <c r="F3056" s="86"/>
      <c r="G3056" s="86"/>
      <c r="H3056" s="86"/>
      <c r="I3056" s="86"/>
      <c r="J3056" s="86"/>
      <c r="K3056" s="86"/>
      <c r="L3056" s="86"/>
      <c r="M3056" s="86"/>
      <c r="N3056" s="86"/>
      <c r="O3056" s="86"/>
    </row>
    <row r="3057" spans="2:15">
      <c r="B3057" s="88"/>
      <c r="C3057" s="86"/>
      <c r="D3057" s="86"/>
      <c r="E3057" s="86"/>
      <c r="F3057" s="86"/>
      <c r="G3057" s="86"/>
      <c r="H3057" s="86"/>
      <c r="I3057" s="86"/>
      <c r="J3057" s="86"/>
      <c r="K3057" s="86"/>
      <c r="L3057" s="86"/>
      <c r="M3057" s="86"/>
      <c r="N3057" s="86"/>
      <c r="O3057" s="86"/>
    </row>
    <row r="3058" spans="2:15">
      <c r="B3058" s="88"/>
      <c r="C3058" s="86"/>
      <c r="D3058" s="86"/>
      <c r="E3058" s="86"/>
      <c r="F3058" s="86"/>
      <c r="G3058" s="86"/>
      <c r="H3058" s="86"/>
      <c r="I3058" s="86"/>
      <c r="J3058" s="86"/>
      <c r="K3058" s="86"/>
      <c r="L3058" s="86"/>
      <c r="M3058" s="86"/>
      <c r="N3058" s="86"/>
      <c r="O3058" s="86"/>
    </row>
    <row r="3059" spans="2:15">
      <c r="B3059" s="88"/>
      <c r="C3059" s="86"/>
      <c r="D3059" s="86"/>
      <c r="E3059" s="86"/>
      <c r="F3059" s="86"/>
      <c r="G3059" s="86"/>
      <c r="H3059" s="86"/>
      <c r="I3059" s="86"/>
      <c r="J3059" s="86"/>
      <c r="K3059" s="86"/>
      <c r="L3059" s="86"/>
      <c r="M3059" s="86"/>
      <c r="N3059" s="86"/>
      <c r="O3059" s="86"/>
    </row>
    <row r="3060" spans="2:15">
      <c r="B3060" s="88"/>
      <c r="C3060" s="86"/>
      <c r="D3060" s="86"/>
      <c r="E3060" s="86"/>
      <c r="F3060" s="86"/>
      <c r="G3060" s="86"/>
      <c r="H3060" s="86"/>
      <c r="I3060" s="86"/>
      <c r="J3060" s="86"/>
      <c r="K3060" s="86"/>
      <c r="L3060" s="86"/>
      <c r="M3060" s="86"/>
      <c r="N3060" s="86"/>
      <c r="O3060" s="86"/>
    </row>
    <row r="3061" spans="2:15">
      <c r="B3061" s="88"/>
      <c r="C3061" s="86"/>
      <c r="D3061" s="86"/>
      <c r="E3061" s="86"/>
      <c r="F3061" s="86"/>
      <c r="G3061" s="86"/>
      <c r="H3061" s="86"/>
      <c r="I3061" s="86"/>
      <c r="J3061" s="86"/>
      <c r="K3061" s="86"/>
      <c r="L3061" s="86"/>
      <c r="M3061" s="86"/>
      <c r="N3061" s="86"/>
      <c r="O3061" s="86"/>
    </row>
    <row r="3062" spans="2:15">
      <c r="B3062" s="88"/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</row>
    <row r="3063" spans="2:15">
      <c r="B3063" s="88"/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</row>
    <row r="3064" spans="2:15">
      <c r="B3064" s="88"/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</row>
    <row r="3065" spans="2:15">
      <c r="B3065" s="88"/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</row>
    <row r="3066" spans="2:15">
      <c r="B3066" s="88"/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</row>
    <row r="3067" spans="2:15">
      <c r="B3067" s="88"/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</row>
    <row r="3068" spans="2:15">
      <c r="B3068" s="88"/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</row>
    <row r="3069" spans="2:15">
      <c r="B3069" s="88"/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</row>
    <row r="3070" spans="2:15">
      <c r="B3070" s="88"/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</row>
    <row r="3071" spans="2:15">
      <c r="B3071" s="88"/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</row>
    <row r="3072" spans="2:15">
      <c r="B3072" s="88"/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</row>
    <row r="3073" spans="2:15">
      <c r="B3073" s="88"/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</row>
    <row r="3074" spans="2:15">
      <c r="B3074" s="88"/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</row>
    <row r="3075" spans="2:15">
      <c r="B3075" s="88"/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</row>
    <row r="3076" spans="2:15">
      <c r="B3076" s="88"/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</row>
    <row r="3077" spans="2:15">
      <c r="B3077" s="88"/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</row>
    <row r="3078" spans="2:15">
      <c r="B3078" s="88"/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</row>
    <row r="3079" spans="2:15">
      <c r="B3079" s="88"/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</row>
    <row r="3080" spans="2:15">
      <c r="B3080" s="88"/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</row>
    <row r="3081" spans="2:15">
      <c r="B3081" s="88"/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</row>
    <row r="3082" spans="2:15">
      <c r="B3082" s="88"/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</row>
    <row r="3083" spans="2:15">
      <c r="B3083" s="88"/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</row>
    <row r="3084" spans="2:15">
      <c r="B3084" s="88"/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</row>
    <row r="3085" spans="2:15">
      <c r="B3085" s="88"/>
      <c r="C3085" s="86"/>
      <c r="D3085" s="86"/>
      <c r="E3085" s="86"/>
      <c r="F3085" s="86"/>
      <c r="G3085" s="86"/>
      <c r="H3085" s="86"/>
      <c r="I3085" s="86"/>
      <c r="J3085" s="86"/>
      <c r="K3085" s="86"/>
      <c r="L3085" s="86"/>
      <c r="M3085" s="86"/>
      <c r="N3085" s="86"/>
      <c r="O3085" s="86"/>
    </row>
    <row r="3086" spans="2:15">
      <c r="B3086" s="88"/>
      <c r="C3086" s="86"/>
      <c r="D3086" s="86"/>
      <c r="E3086" s="86"/>
      <c r="F3086" s="86"/>
      <c r="G3086" s="86"/>
      <c r="H3086" s="86"/>
      <c r="I3086" s="86"/>
      <c r="J3086" s="86"/>
      <c r="K3086" s="86"/>
      <c r="L3086" s="86"/>
      <c r="M3086" s="86"/>
      <c r="N3086" s="86"/>
      <c r="O3086" s="86"/>
    </row>
    <row r="3087" spans="2:15">
      <c r="B3087" s="88"/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</row>
    <row r="3088" spans="2:15">
      <c r="B3088" s="88"/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</row>
    <row r="3089" spans="2:15">
      <c r="B3089" s="88"/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</row>
    <row r="3090" spans="2:15">
      <c r="B3090" s="88"/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</row>
    <row r="3091" spans="2:15">
      <c r="B3091" s="88"/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</row>
    <row r="3092" spans="2:15">
      <c r="B3092" s="88"/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</row>
    <row r="3093" spans="2:15">
      <c r="B3093" s="88"/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</row>
    <row r="3094" spans="2:15">
      <c r="B3094" s="88"/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</row>
    <row r="3095" spans="2:15">
      <c r="B3095" s="88"/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</row>
    <row r="3096" spans="2:15">
      <c r="B3096" s="88"/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</row>
    <row r="3097" spans="2:15">
      <c r="B3097" s="88"/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</row>
    <row r="3098" spans="2:15">
      <c r="B3098" s="88"/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</row>
    <row r="3099" spans="2:15">
      <c r="B3099" s="88"/>
      <c r="C3099" s="86"/>
      <c r="D3099" s="86"/>
      <c r="E3099" s="86"/>
      <c r="F3099" s="86"/>
      <c r="G3099" s="86"/>
      <c r="H3099" s="86"/>
      <c r="I3099" s="86"/>
      <c r="J3099" s="86"/>
      <c r="K3099" s="86"/>
      <c r="L3099" s="86"/>
      <c r="M3099" s="86"/>
      <c r="N3099" s="86"/>
      <c r="O3099" s="86"/>
    </row>
    <row r="3100" spans="2:15">
      <c r="B3100" s="88"/>
      <c r="C3100" s="86"/>
      <c r="D3100" s="86"/>
      <c r="E3100" s="86"/>
      <c r="F3100" s="86"/>
      <c r="G3100" s="86"/>
      <c r="H3100" s="86"/>
      <c r="I3100" s="86"/>
      <c r="J3100" s="86"/>
      <c r="K3100" s="86"/>
      <c r="L3100" s="86"/>
      <c r="M3100" s="86"/>
      <c r="N3100" s="86"/>
      <c r="O3100" s="86"/>
    </row>
    <row r="3101" spans="2:15">
      <c r="B3101" s="88"/>
      <c r="C3101" s="86"/>
      <c r="D3101" s="86"/>
      <c r="E3101" s="86"/>
      <c r="F3101" s="86"/>
      <c r="G3101" s="86"/>
      <c r="H3101" s="86"/>
      <c r="I3101" s="86"/>
      <c r="J3101" s="86"/>
      <c r="K3101" s="86"/>
      <c r="L3101" s="86"/>
      <c r="M3101" s="86"/>
      <c r="N3101" s="86"/>
      <c r="O3101" s="86"/>
    </row>
    <row r="3102" spans="2:15">
      <c r="B3102" s="88"/>
      <c r="C3102" s="86"/>
      <c r="D3102" s="86"/>
      <c r="E3102" s="86"/>
      <c r="F3102" s="86"/>
      <c r="G3102" s="86"/>
      <c r="H3102" s="86"/>
      <c r="I3102" s="86"/>
      <c r="J3102" s="86"/>
      <c r="K3102" s="86"/>
      <c r="L3102" s="86"/>
      <c r="M3102" s="86"/>
      <c r="N3102" s="86"/>
      <c r="O3102" s="86"/>
    </row>
    <row r="3103" spans="2:15">
      <c r="B3103" s="88"/>
      <c r="C3103" s="86"/>
      <c r="D3103" s="86"/>
      <c r="E3103" s="86"/>
      <c r="F3103" s="86"/>
      <c r="G3103" s="86"/>
      <c r="H3103" s="86"/>
      <c r="I3103" s="86"/>
      <c r="J3103" s="86"/>
      <c r="K3103" s="86"/>
      <c r="L3103" s="86"/>
      <c r="M3103" s="86"/>
      <c r="N3103" s="86"/>
      <c r="O3103" s="86"/>
    </row>
    <row r="3104" spans="2:15">
      <c r="B3104" s="88"/>
      <c r="C3104" s="86"/>
      <c r="D3104" s="86"/>
      <c r="E3104" s="86"/>
      <c r="F3104" s="86"/>
      <c r="G3104" s="86"/>
      <c r="H3104" s="86"/>
      <c r="I3104" s="86"/>
      <c r="J3104" s="86"/>
      <c r="K3104" s="86"/>
      <c r="L3104" s="86"/>
      <c r="M3104" s="86"/>
      <c r="N3104" s="86"/>
      <c r="O3104" s="86"/>
    </row>
    <row r="3105" spans="2:15">
      <c r="B3105" s="88"/>
      <c r="C3105" s="86"/>
      <c r="D3105" s="86"/>
      <c r="E3105" s="86"/>
      <c r="F3105" s="86"/>
      <c r="G3105" s="86"/>
      <c r="H3105" s="86"/>
      <c r="I3105" s="86"/>
      <c r="J3105" s="86"/>
      <c r="K3105" s="86"/>
      <c r="L3105" s="86"/>
      <c r="M3105" s="86"/>
      <c r="N3105" s="86"/>
      <c r="O3105" s="86"/>
    </row>
    <row r="3106" spans="2:15">
      <c r="B3106" s="88"/>
      <c r="C3106" s="86"/>
      <c r="D3106" s="86"/>
      <c r="E3106" s="86"/>
      <c r="F3106" s="86"/>
      <c r="G3106" s="86"/>
      <c r="H3106" s="86"/>
      <c r="I3106" s="86"/>
      <c r="J3106" s="86"/>
      <c r="K3106" s="86"/>
      <c r="L3106" s="86"/>
      <c r="M3106" s="86"/>
      <c r="N3106" s="86"/>
      <c r="O3106" s="86"/>
    </row>
    <row r="3107" spans="2:15">
      <c r="B3107" s="88"/>
      <c r="C3107" s="86"/>
      <c r="D3107" s="86"/>
      <c r="E3107" s="86"/>
      <c r="F3107" s="86"/>
      <c r="G3107" s="86"/>
      <c r="H3107" s="86"/>
      <c r="I3107" s="86"/>
      <c r="J3107" s="86"/>
      <c r="K3107" s="86"/>
      <c r="L3107" s="86"/>
      <c r="M3107" s="86"/>
      <c r="N3107" s="86"/>
      <c r="O3107" s="86"/>
    </row>
    <row r="3108" spans="2:15">
      <c r="B3108" s="88"/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</row>
    <row r="3109" spans="2:15">
      <c r="B3109" s="88"/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</row>
    <row r="3110" spans="2:15">
      <c r="B3110" s="88"/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</row>
    <row r="3111" spans="2:15">
      <c r="B3111" s="88"/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</row>
    <row r="3112" spans="2:15">
      <c r="B3112" s="88"/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</row>
    <row r="3113" spans="2:15">
      <c r="B3113" s="88"/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</row>
    <row r="3114" spans="2:15">
      <c r="B3114" s="88"/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</row>
    <row r="3115" spans="2:15">
      <c r="B3115" s="88"/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</row>
    <row r="3116" spans="2:15">
      <c r="B3116" s="88"/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</row>
    <row r="3117" spans="2:15">
      <c r="B3117" s="88"/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</row>
    <row r="3118" spans="2:15">
      <c r="B3118" s="88"/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</row>
    <row r="3119" spans="2:15">
      <c r="B3119" s="88"/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</row>
    <row r="3120" spans="2:15">
      <c r="B3120" s="88"/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</row>
    <row r="3121" spans="2:15">
      <c r="B3121" s="88"/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</row>
    <row r="3122" spans="2:15">
      <c r="B3122" s="88"/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</row>
    <row r="3123" spans="2:15">
      <c r="B3123" s="88"/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</row>
    <row r="3124" spans="2:15">
      <c r="B3124" s="88"/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</row>
    <row r="3125" spans="2:15">
      <c r="B3125" s="88"/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</row>
    <row r="3126" spans="2:15">
      <c r="B3126" s="88"/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</row>
    <row r="3127" spans="2:15">
      <c r="B3127" s="88"/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</row>
    <row r="3128" spans="2:15">
      <c r="B3128" s="88"/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</row>
    <row r="3129" spans="2:15">
      <c r="B3129" s="88"/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</row>
    <row r="3130" spans="2:15">
      <c r="B3130" s="88"/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</row>
    <row r="3131" spans="2:15">
      <c r="B3131" s="88"/>
      <c r="C3131" s="86"/>
      <c r="D3131" s="86"/>
      <c r="E3131" s="86"/>
      <c r="F3131" s="86"/>
      <c r="G3131" s="86"/>
      <c r="H3131" s="86"/>
      <c r="I3131" s="86"/>
      <c r="J3131" s="86"/>
      <c r="K3131" s="86"/>
      <c r="L3131" s="86"/>
      <c r="M3131" s="86"/>
      <c r="N3131" s="86"/>
      <c r="O3131" s="86"/>
    </row>
    <row r="3132" spans="2:15">
      <c r="B3132" s="88"/>
      <c r="C3132" s="86"/>
      <c r="D3132" s="86"/>
      <c r="E3132" s="86"/>
      <c r="F3132" s="86"/>
      <c r="G3132" s="86"/>
      <c r="H3132" s="86"/>
      <c r="I3132" s="86"/>
      <c r="J3132" s="86"/>
      <c r="K3132" s="86"/>
      <c r="L3132" s="86"/>
      <c r="M3132" s="86"/>
      <c r="N3132" s="86"/>
      <c r="O3132" s="86"/>
    </row>
    <row r="3133" spans="2:15">
      <c r="B3133" s="88"/>
      <c r="C3133" s="86"/>
      <c r="D3133" s="86"/>
      <c r="E3133" s="86"/>
      <c r="F3133" s="86"/>
      <c r="G3133" s="86"/>
      <c r="H3133" s="86"/>
      <c r="I3133" s="86"/>
      <c r="J3133" s="86"/>
      <c r="K3133" s="86"/>
      <c r="L3133" s="86"/>
      <c r="M3133" s="86"/>
      <c r="N3133" s="86"/>
      <c r="O3133" s="86"/>
    </row>
    <row r="3134" spans="2:15">
      <c r="B3134" s="88"/>
      <c r="C3134" s="86"/>
      <c r="D3134" s="86"/>
      <c r="E3134" s="86"/>
      <c r="F3134" s="86"/>
      <c r="G3134" s="86"/>
      <c r="H3134" s="86"/>
      <c r="I3134" s="86"/>
      <c r="J3134" s="86"/>
      <c r="K3134" s="86"/>
      <c r="L3134" s="86"/>
      <c r="M3134" s="86"/>
      <c r="N3134" s="86"/>
      <c r="O3134" s="86"/>
    </row>
    <row r="3135" spans="2:15">
      <c r="B3135" s="88"/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</row>
    <row r="3136" spans="2:15">
      <c r="B3136" s="88"/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</row>
    <row r="3137" spans="2:15">
      <c r="B3137" s="88"/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</row>
    <row r="3138" spans="2:15">
      <c r="B3138" s="88"/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</row>
    <row r="3139" spans="2:15">
      <c r="B3139" s="88"/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</row>
    <row r="3140" spans="2:15">
      <c r="B3140" s="88"/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</row>
    <row r="3141" spans="2:15">
      <c r="B3141" s="88"/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</row>
    <row r="3142" spans="2:15">
      <c r="B3142" s="88"/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</row>
    <row r="3143" spans="2:15">
      <c r="B3143" s="88"/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</row>
    <row r="3144" spans="2:15">
      <c r="B3144" s="88"/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</row>
    <row r="3145" spans="2:15">
      <c r="B3145" s="88"/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</row>
    <row r="3146" spans="2:15">
      <c r="B3146" s="88"/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</row>
    <row r="3147" spans="2:15">
      <c r="B3147" s="88"/>
      <c r="C3147" s="86"/>
      <c r="D3147" s="86"/>
      <c r="E3147" s="86"/>
      <c r="F3147" s="86"/>
      <c r="G3147" s="86"/>
      <c r="H3147" s="86"/>
      <c r="I3147" s="86"/>
      <c r="J3147" s="86"/>
      <c r="K3147" s="86"/>
      <c r="L3147" s="86"/>
      <c r="M3147" s="86"/>
      <c r="N3147" s="86"/>
      <c r="O3147" s="86"/>
    </row>
    <row r="3148" spans="2:15">
      <c r="B3148" s="88"/>
      <c r="C3148" s="86"/>
      <c r="D3148" s="86"/>
      <c r="E3148" s="86"/>
      <c r="F3148" s="86"/>
      <c r="G3148" s="86"/>
      <c r="H3148" s="86"/>
      <c r="I3148" s="86"/>
      <c r="J3148" s="86"/>
      <c r="K3148" s="86"/>
      <c r="L3148" s="86"/>
      <c r="M3148" s="86"/>
      <c r="N3148" s="86"/>
      <c r="O3148" s="86"/>
    </row>
    <row r="3149" spans="2:15">
      <c r="B3149" s="88"/>
      <c r="C3149" s="86"/>
      <c r="D3149" s="86"/>
      <c r="E3149" s="86"/>
      <c r="F3149" s="86"/>
      <c r="G3149" s="86"/>
      <c r="H3149" s="86"/>
      <c r="I3149" s="86"/>
      <c r="J3149" s="86"/>
      <c r="K3149" s="86"/>
      <c r="L3149" s="86"/>
      <c r="M3149" s="86"/>
      <c r="N3149" s="86"/>
      <c r="O3149" s="86"/>
    </row>
    <row r="3150" spans="2:15">
      <c r="B3150" s="88"/>
      <c r="C3150" s="86"/>
      <c r="D3150" s="86"/>
      <c r="E3150" s="86"/>
      <c r="F3150" s="86"/>
      <c r="G3150" s="86"/>
      <c r="H3150" s="86"/>
      <c r="I3150" s="86"/>
      <c r="J3150" s="86"/>
      <c r="K3150" s="86"/>
      <c r="L3150" s="86"/>
      <c r="M3150" s="86"/>
      <c r="N3150" s="86"/>
      <c r="O3150" s="86"/>
    </row>
    <row r="3151" spans="2:15">
      <c r="B3151" s="88"/>
      <c r="C3151" s="86"/>
      <c r="D3151" s="86"/>
      <c r="E3151" s="86"/>
      <c r="F3151" s="86"/>
      <c r="G3151" s="86"/>
      <c r="H3151" s="86"/>
      <c r="I3151" s="86"/>
      <c r="J3151" s="86"/>
      <c r="K3151" s="86"/>
      <c r="L3151" s="86"/>
      <c r="M3151" s="86"/>
      <c r="N3151" s="86"/>
      <c r="O3151" s="86"/>
    </row>
    <row r="3152" spans="2:15">
      <c r="B3152" s="88"/>
      <c r="C3152" s="86"/>
      <c r="D3152" s="86"/>
      <c r="E3152" s="86"/>
      <c r="F3152" s="86"/>
      <c r="G3152" s="86"/>
      <c r="H3152" s="86"/>
      <c r="I3152" s="86"/>
      <c r="J3152" s="86"/>
      <c r="K3152" s="86"/>
      <c r="L3152" s="86"/>
      <c r="M3152" s="86"/>
      <c r="N3152" s="86"/>
      <c r="O3152" s="86"/>
    </row>
    <row r="3153" spans="2:15">
      <c r="B3153" s="88"/>
      <c r="C3153" s="86"/>
      <c r="D3153" s="86"/>
      <c r="E3153" s="86"/>
      <c r="F3153" s="86"/>
      <c r="G3153" s="86"/>
      <c r="H3153" s="86"/>
      <c r="I3153" s="86"/>
      <c r="J3153" s="86"/>
      <c r="K3153" s="86"/>
      <c r="L3153" s="86"/>
      <c r="M3153" s="86"/>
      <c r="N3153" s="86"/>
      <c r="O3153" s="86"/>
    </row>
    <row r="3154" spans="2:15">
      <c r="B3154" s="88"/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</row>
    <row r="3155" spans="2:15">
      <c r="B3155" s="88"/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</row>
    <row r="3156" spans="2:15">
      <c r="B3156" s="88"/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</row>
    <row r="3157" spans="2:15">
      <c r="B3157" s="88"/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</row>
    <row r="3158" spans="2:15">
      <c r="B3158" s="88"/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</row>
    <row r="3159" spans="2:15">
      <c r="B3159" s="88"/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</row>
    <row r="3160" spans="2:15">
      <c r="B3160" s="88"/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</row>
    <row r="3161" spans="2:15">
      <c r="B3161" s="88"/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</row>
    <row r="3162" spans="2:15">
      <c r="B3162" s="88"/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</row>
    <row r="3163" spans="2:15">
      <c r="B3163" s="88"/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</row>
    <row r="3164" spans="2:15">
      <c r="B3164" s="88"/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</row>
    <row r="3165" spans="2:15">
      <c r="B3165" s="88"/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</row>
    <row r="3166" spans="2:15">
      <c r="B3166" s="88"/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</row>
    <row r="3167" spans="2:15">
      <c r="B3167" s="88"/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</row>
    <row r="3168" spans="2:15">
      <c r="B3168" s="88"/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</row>
    <row r="3169" spans="2:15">
      <c r="B3169" s="88"/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</row>
    <row r="3170" spans="2:15">
      <c r="B3170" s="88"/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</row>
    <row r="3171" spans="2:15">
      <c r="B3171" s="88"/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</row>
    <row r="3172" spans="2:15">
      <c r="B3172" s="88"/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</row>
    <row r="3173" spans="2:15">
      <c r="B3173" s="88"/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</row>
    <row r="3174" spans="2:15">
      <c r="B3174" s="88"/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</row>
    <row r="3175" spans="2:15">
      <c r="B3175" s="88"/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</row>
    <row r="3176" spans="2:15">
      <c r="B3176" s="88"/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</row>
    <row r="3177" spans="2:15">
      <c r="B3177" s="88"/>
      <c r="C3177" s="86"/>
      <c r="D3177" s="86"/>
      <c r="E3177" s="86"/>
      <c r="F3177" s="86"/>
      <c r="G3177" s="86"/>
      <c r="H3177" s="86"/>
      <c r="I3177" s="86"/>
      <c r="J3177" s="86"/>
      <c r="K3177" s="86"/>
      <c r="L3177" s="86"/>
      <c r="M3177" s="86"/>
      <c r="N3177" s="86"/>
      <c r="O3177" s="86"/>
    </row>
    <row r="3178" spans="2:15">
      <c r="B3178" s="88"/>
      <c r="C3178" s="86"/>
      <c r="D3178" s="86"/>
      <c r="E3178" s="86"/>
      <c r="F3178" s="86"/>
      <c r="G3178" s="86"/>
      <c r="H3178" s="86"/>
      <c r="I3178" s="86"/>
      <c r="J3178" s="86"/>
      <c r="K3178" s="86"/>
      <c r="L3178" s="86"/>
      <c r="M3178" s="86"/>
      <c r="N3178" s="86"/>
      <c r="O3178" s="86"/>
    </row>
    <row r="3179" spans="2:15">
      <c r="B3179" s="88"/>
      <c r="C3179" s="86"/>
      <c r="D3179" s="86"/>
      <c r="E3179" s="86"/>
      <c r="F3179" s="86"/>
      <c r="G3179" s="86"/>
      <c r="H3179" s="86"/>
      <c r="I3179" s="86"/>
      <c r="J3179" s="86"/>
      <c r="K3179" s="86"/>
      <c r="L3179" s="86"/>
      <c r="M3179" s="86"/>
      <c r="N3179" s="86"/>
      <c r="O3179" s="86"/>
    </row>
    <row r="3180" spans="2:15">
      <c r="B3180" s="88"/>
      <c r="C3180" s="86"/>
      <c r="D3180" s="86"/>
      <c r="E3180" s="86"/>
      <c r="F3180" s="86"/>
      <c r="G3180" s="86"/>
      <c r="H3180" s="86"/>
      <c r="I3180" s="86"/>
      <c r="J3180" s="86"/>
      <c r="K3180" s="86"/>
      <c r="L3180" s="86"/>
      <c r="M3180" s="86"/>
      <c r="N3180" s="86"/>
      <c r="O3180" s="86"/>
    </row>
    <row r="3181" spans="2:15">
      <c r="B3181" s="88"/>
      <c r="C3181" s="86"/>
      <c r="D3181" s="86"/>
      <c r="E3181" s="86"/>
      <c r="F3181" s="86"/>
      <c r="G3181" s="86"/>
      <c r="H3181" s="86"/>
      <c r="I3181" s="86"/>
      <c r="J3181" s="86"/>
      <c r="K3181" s="86"/>
      <c r="L3181" s="86"/>
      <c r="M3181" s="86"/>
      <c r="N3181" s="86"/>
      <c r="O3181" s="86"/>
    </row>
    <row r="3182" spans="2:15">
      <c r="B3182" s="88"/>
      <c r="C3182" s="86"/>
      <c r="D3182" s="86"/>
      <c r="E3182" s="86"/>
      <c r="F3182" s="86"/>
      <c r="G3182" s="86"/>
      <c r="H3182" s="86"/>
      <c r="I3182" s="86"/>
      <c r="J3182" s="86"/>
      <c r="K3182" s="86"/>
      <c r="L3182" s="86"/>
      <c r="M3182" s="86"/>
      <c r="N3182" s="86"/>
      <c r="O3182" s="86"/>
    </row>
    <row r="3183" spans="2:15">
      <c r="B3183" s="88"/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</row>
    <row r="3184" spans="2:15">
      <c r="B3184" s="88"/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</row>
    <row r="3185" spans="2:15">
      <c r="B3185" s="88"/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</row>
    <row r="3186" spans="2:15">
      <c r="B3186" s="88"/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</row>
    <row r="3187" spans="2:15">
      <c r="B3187" s="88"/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</row>
    <row r="3188" spans="2:15">
      <c r="B3188" s="88"/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</row>
    <row r="3189" spans="2:15">
      <c r="B3189" s="88"/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</row>
    <row r="3190" spans="2:15">
      <c r="B3190" s="88"/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</row>
    <row r="3191" spans="2:15">
      <c r="B3191" s="88"/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</row>
    <row r="3192" spans="2:15">
      <c r="B3192" s="88"/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</row>
    <row r="3193" spans="2:15">
      <c r="B3193" s="88"/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</row>
    <row r="3194" spans="2:15">
      <c r="B3194" s="88"/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</row>
    <row r="3195" spans="2:15">
      <c r="B3195" s="88"/>
      <c r="C3195" s="86"/>
      <c r="D3195" s="86"/>
      <c r="E3195" s="86"/>
      <c r="F3195" s="86"/>
      <c r="G3195" s="86"/>
      <c r="H3195" s="86"/>
      <c r="I3195" s="86"/>
      <c r="J3195" s="86"/>
      <c r="K3195" s="86"/>
      <c r="L3195" s="86"/>
      <c r="M3195" s="86"/>
      <c r="N3195" s="86"/>
      <c r="O3195" s="86"/>
    </row>
    <row r="3196" spans="2:15">
      <c r="B3196" s="88"/>
      <c r="C3196" s="86"/>
      <c r="D3196" s="86"/>
      <c r="E3196" s="86"/>
      <c r="F3196" s="86"/>
      <c r="G3196" s="86"/>
      <c r="H3196" s="86"/>
      <c r="I3196" s="86"/>
      <c r="J3196" s="86"/>
      <c r="K3196" s="86"/>
      <c r="L3196" s="86"/>
      <c r="M3196" s="86"/>
      <c r="N3196" s="86"/>
      <c r="O3196" s="86"/>
    </row>
    <row r="3197" spans="2:15">
      <c r="B3197" s="88"/>
      <c r="C3197" s="86"/>
      <c r="D3197" s="86"/>
      <c r="E3197" s="86"/>
      <c r="F3197" s="86"/>
      <c r="G3197" s="86"/>
      <c r="H3197" s="86"/>
      <c r="I3197" s="86"/>
      <c r="J3197" s="86"/>
      <c r="K3197" s="86"/>
      <c r="L3197" s="86"/>
      <c r="M3197" s="86"/>
      <c r="N3197" s="86"/>
      <c r="O3197" s="86"/>
    </row>
    <row r="3198" spans="2:15">
      <c r="B3198" s="88"/>
      <c r="C3198" s="86"/>
      <c r="D3198" s="86"/>
      <c r="E3198" s="86"/>
      <c r="F3198" s="86"/>
      <c r="G3198" s="86"/>
      <c r="H3198" s="86"/>
      <c r="I3198" s="86"/>
      <c r="J3198" s="86"/>
      <c r="K3198" s="86"/>
      <c r="L3198" s="86"/>
      <c r="M3198" s="86"/>
      <c r="N3198" s="86"/>
      <c r="O3198" s="86"/>
    </row>
    <row r="3199" spans="2:15">
      <c r="B3199" s="88"/>
      <c r="C3199" s="86"/>
      <c r="D3199" s="86"/>
      <c r="E3199" s="86"/>
      <c r="F3199" s="86"/>
      <c r="G3199" s="86"/>
      <c r="H3199" s="86"/>
      <c r="I3199" s="86"/>
      <c r="J3199" s="86"/>
      <c r="K3199" s="86"/>
      <c r="L3199" s="86"/>
      <c r="M3199" s="86"/>
      <c r="N3199" s="86"/>
      <c r="O3199" s="86"/>
    </row>
    <row r="3200" spans="2:15">
      <c r="B3200" s="88"/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</row>
    <row r="3201" spans="2:15">
      <c r="B3201" s="88"/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</row>
    <row r="3202" spans="2:15">
      <c r="B3202" s="88"/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</row>
    <row r="3203" spans="2:15">
      <c r="B3203" s="88"/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</row>
    <row r="3204" spans="2:15">
      <c r="B3204" s="88"/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</row>
    <row r="3205" spans="2:15">
      <c r="B3205" s="88"/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</row>
    <row r="3206" spans="2:15">
      <c r="B3206" s="88"/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</row>
    <row r="3207" spans="2:15">
      <c r="B3207" s="88"/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</row>
    <row r="3208" spans="2:15">
      <c r="B3208" s="88"/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</row>
    <row r="3209" spans="2:15">
      <c r="B3209" s="88"/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</row>
    <row r="3210" spans="2:15">
      <c r="B3210" s="88"/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</row>
    <row r="3211" spans="2:15">
      <c r="B3211" s="88"/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</row>
    <row r="3212" spans="2:15">
      <c r="B3212" s="88"/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</row>
    <row r="3213" spans="2:15">
      <c r="B3213" s="88"/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</row>
    <row r="3214" spans="2:15">
      <c r="B3214" s="88"/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</row>
    <row r="3215" spans="2:15">
      <c r="B3215" s="88"/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</row>
    <row r="3216" spans="2:15">
      <c r="B3216" s="88"/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</row>
    <row r="3217" spans="2:15">
      <c r="B3217" s="88"/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</row>
    <row r="3218" spans="2:15">
      <c r="B3218" s="88"/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</row>
    <row r="3219" spans="2:15">
      <c r="B3219" s="88"/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</row>
    <row r="3220" spans="2:15">
      <c r="B3220" s="88"/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</row>
    <row r="3221" spans="2:15">
      <c r="B3221" s="88"/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</row>
    <row r="3222" spans="2:15">
      <c r="B3222" s="88"/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</row>
    <row r="3223" spans="2:15">
      <c r="B3223" s="88"/>
      <c r="C3223" s="86"/>
      <c r="D3223" s="86"/>
      <c r="E3223" s="86"/>
      <c r="F3223" s="86"/>
      <c r="G3223" s="86"/>
      <c r="H3223" s="86"/>
      <c r="I3223" s="86"/>
      <c r="J3223" s="86"/>
      <c r="K3223" s="86"/>
      <c r="L3223" s="86"/>
      <c r="M3223" s="86"/>
      <c r="N3223" s="86"/>
      <c r="O3223" s="86"/>
    </row>
    <row r="3224" spans="2:15">
      <c r="B3224" s="88"/>
      <c r="C3224" s="86"/>
      <c r="D3224" s="86"/>
      <c r="E3224" s="86"/>
      <c r="F3224" s="86"/>
      <c r="G3224" s="86"/>
      <c r="H3224" s="86"/>
      <c r="I3224" s="86"/>
      <c r="J3224" s="86"/>
      <c r="K3224" s="86"/>
      <c r="L3224" s="86"/>
      <c r="M3224" s="86"/>
      <c r="N3224" s="86"/>
      <c r="O3224" s="86"/>
    </row>
    <row r="3225" spans="2:15">
      <c r="B3225" s="88"/>
      <c r="C3225" s="86"/>
      <c r="D3225" s="86"/>
      <c r="E3225" s="86"/>
      <c r="F3225" s="86"/>
      <c r="G3225" s="86"/>
      <c r="H3225" s="86"/>
      <c r="I3225" s="86"/>
      <c r="J3225" s="86"/>
      <c r="K3225" s="86"/>
      <c r="L3225" s="86"/>
      <c r="M3225" s="86"/>
      <c r="N3225" s="86"/>
      <c r="O3225" s="86"/>
    </row>
    <row r="3226" spans="2:15">
      <c r="B3226" s="88"/>
      <c r="C3226" s="86"/>
      <c r="D3226" s="86"/>
      <c r="E3226" s="86"/>
      <c r="F3226" s="86"/>
      <c r="G3226" s="86"/>
      <c r="H3226" s="86"/>
      <c r="I3226" s="86"/>
      <c r="J3226" s="86"/>
      <c r="K3226" s="86"/>
      <c r="L3226" s="86"/>
      <c r="M3226" s="86"/>
      <c r="N3226" s="86"/>
      <c r="O3226" s="86"/>
    </row>
    <row r="3227" spans="2:15">
      <c r="B3227" s="88"/>
      <c r="C3227" s="86"/>
      <c r="D3227" s="86"/>
      <c r="E3227" s="86"/>
      <c r="F3227" s="86"/>
      <c r="G3227" s="86"/>
      <c r="H3227" s="86"/>
      <c r="I3227" s="86"/>
      <c r="J3227" s="86"/>
      <c r="K3227" s="86"/>
      <c r="L3227" s="86"/>
      <c r="M3227" s="86"/>
      <c r="N3227" s="86"/>
      <c r="O3227" s="86"/>
    </row>
    <row r="3228" spans="2:15">
      <c r="B3228" s="88"/>
      <c r="C3228" s="86"/>
      <c r="D3228" s="86"/>
      <c r="E3228" s="86"/>
      <c r="F3228" s="86"/>
      <c r="G3228" s="86"/>
      <c r="H3228" s="86"/>
      <c r="I3228" s="86"/>
      <c r="J3228" s="86"/>
      <c r="K3228" s="86"/>
      <c r="L3228" s="86"/>
      <c r="M3228" s="86"/>
      <c r="N3228" s="86"/>
      <c r="O3228" s="86"/>
    </row>
    <row r="3229" spans="2:15">
      <c r="B3229" s="88"/>
      <c r="C3229" s="86"/>
      <c r="D3229" s="86"/>
      <c r="E3229" s="86"/>
      <c r="F3229" s="86"/>
      <c r="G3229" s="86"/>
      <c r="H3229" s="86"/>
      <c r="I3229" s="86"/>
      <c r="J3229" s="86"/>
      <c r="K3229" s="86"/>
      <c r="L3229" s="86"/>
      <c r="M3229" s="86"/>
      <c r="N3229" s="86"/>
      <c r="O3229" s="86"/>
    </row>
    <row r="3230" spans="2:15">
      <c r="B3230" s="88"/>
      <c r="C3230" s="86"/>
      <c r="D3230" s="86"/>
      <c r="E3230" s="86"/>
      <c r="F3230" s="86"/>
      <c r="G3230" s="86"/>
      <c r="H3230" s="86"/>
      <c r="I3230" s="86"/>
      <c r="J3230" s="86"/>
      <c r="K3230" s="86"/>
      <c r="L3230" s="86"/>
      <c r="M3230" s="86"/>
      <c r="N3230" s="86"/>
      <c r="O3230" s="86"/>
    </row>
    <row r="3231" spans="2:15">
      <c r="B3231" s="88"/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</row>
    <row r="3232" spans="2:15">
      <c r="B3232" s="88"/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</row>
    <row r="3233" spans="2:15">
      <c r="B3233" s="88"/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</row>
    <row r="3234" spans="2:15">
      <c r="B3234" s="88"/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</row>
    <row r="3235" spans="2:15">
      <c r="B3235" s="88"/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</row>
    <row r="3236" spans="2:15">
      <c r="B3236" s="88"/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</row>
    <row r="3237" spans="2:15">
      <c r="B3237" s="88"/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</row>
    <row r="3238" spans="2:15">
      <c r="B3238" s="88"/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</row>
    <row r="3239" spans="2:15">
      <c r="B3239" s="88"/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</row>
    <row r="3240" spans="2:15">
      <c r="B3240" s="88"/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</row>
    <row r="3241" spans="2:15">
      <c r="B3241" s="88"/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</row>
    <row r="3242" spans="2:15">
      <c r="B3242" s="88"/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</row>
    <row r="3243" spans="2:15">
      <c r="B3243" s="88"/>
      <c r="C3243" s="86"/>
      <c r="D3243" s="86"/>
      <c r="E3243" s="86"/>
      <c r="F3243" s="86"/>
      <c r="G3243" s="86"/>
      <c r="H3243" s="86"/>
      <c r="I3243" s="86"/>
      <c r="J3243" s="86"/>
      <c r="K3243" s="86"/>
      <c r="L3243" s="86"/>
      <c r="M3243" s="86"/>
      <c r="N3243" s="86"/>
      <c r="O3243" s="86"/>
    </row>
    <row r="3244" spans="2:15">
      <c r="B3244" s="88"/>
      <c r="C3244" s="86"/>
      <c r="D3244" s="86"/>
      <c r="E3244" s="86"/>
      <c r="F3244" s="86"/>
      <c r="G3244" s="86"/>
      <c r="H3244" s="86"/>
      <c r="I3244" s="86"/>
      <c r="J3244" s="86"/>
      <c r="K3244" s="86"/>
      <c r="L3244" s="86"/>
      <c r="M3244" s="86"/>
      <c r="N3244" s="86"/>
      <c r="O3244" s="86"/>
    </row>
    <row r="3245" spans="2:15">
      <c r="B3245" s="88"/>
      <c r="C3245" s="86"/>
      <c r="D3245" s="86"/>
      <c r="E3245" s="86"/>
      <c r="F3245" s="86"/>
      <c r="G3245" s="86"/>
      <c r="H3245" s="86"/>
      <c r="I3245" s="86"/>
      <c r="J3245" s="86"/>
      <c r="K3245" s="86"/>
      <c r="L3245" s="86"/>
      <c r="M3245" s="86"/>
      <c r="N3245" s="86"/>
      <c r="O3245" s="86"/>
    </row>
    <row r="3246" spans="2:15">
      <c r="B3246" s="88"/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</row>
    <row r="3247" spans="2:15">
      <c r="B3247" s="88"/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</row>
    <row r="3248" spans="2:15">
      <c r="B3248" s="88"/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</row>
    <row r="3249" spans="2:15">
      <c r="B3249" s="88"/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</row>
    <row r="3250" spans="2:15">
      <c r="B3250" s="88"/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</row>
    <row r="3251" spans="2:15">
      <c r="B3251" s="88"/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</row>
    <row r="3252" spans="2:15">
      <c r="B3252" s="88"/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</row>
    <row r="3253" spans="2:15">
      <c r="B3253" s="88"/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</row>
    <row r="3254" spans="2:15">
      <c r="B3254" s="88"/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</row>
    <row r="3255" spans="2:15">
      <c r="B3255" s="88"/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</row>
    <row r="3256" spans="2:15">
      <c r="B3256" s="88"/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</row>
    <row r="3257" spans="2:15">
      <c r="B3257" s="88"/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</row>
    <row r="3258" spans="2:15">
      <c r="B3258" s="88"/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</row>
    <row r="3259" spans="2:15">
      <c r="B3259" s="88"/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</row>
    <row r="3260" spans="2:15">
      <c r="B3260" s="88"/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</row>
    <row r="3261" spans="2:15">
      <c r="B3261" s="88"/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</row>
    <row r="3262" spans="2:15">
      <c r="B3262" s="88"/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</row>
    <row r="3263" spans="2:15">
      <c r="B3263" s="88"/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</row>
    <row r="3264" spans="2:15">
      <c r="B3264" s="88"/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</row>
    <row r="3265" spans="2:15">
      <c r="B3265" s="88"/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</row>
    <row r="3266" spans="2:15">
      <c r="B3266" s="88"/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</row>
    <row r="3267" spans="2:15">
      <c r="B3267" s="88"/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</row>
    <row r="3268" spans="2:15">
      <c r="B3268" s="88"/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</row>
    <row r="3269" spans="2:15">
      <c r="B3269" s="88"/>
      <c r="C3269" s="86"/>
      <c r="D3269" s="86"/>
      <c r="E3269" s="86"/>
      <c r="F3269" s="86"/>
      <c r="G3269" s="86"/>
      <c r="H3269" s="86"/>
      <c r="I3269" s="86"/>
      <c r="J3269" s="86"/>
      <c r="K3269" s="86"/>
      <c r="L3269" s="86"/>
      <c r="M3269" s="86"/>
      <c r="N3269" s="86"/>
      <c r="O3269" s="86"/>
    </row>
    <row r="3270" spans="2:15">
      <c r="B3270" s="88"/>
      <c r="C3270" s="86"/>
      <c r="D3270" s="86"/>
      <c r="E3270" s="86"/>
      <c r="F3270" s="86"/>
      <c r="G3270" s="86"/>
      <c r="H3270" s="86"/>
      <c r="I3270" s="86"/>
      <c r="J3270" s="86"/>
      <c r="K3270" s="86"/>
      <c r="L3270" s="86"/>
      <c r="M3270" s="86"/>
      <c r="N3270" s="86"/>
      <c r="O3270" s="86"/>
    </row>
    <row r="3271" spans="2:15">
      <c r="B3271" s="88"/>
      <c r="C3271" s="86"/>
      <c r="D3271" s="86"/>
      <c r="E3271" s="86"/>
      <c r="F3271" s="86"/>
      <c r="G3271" s="86"/>
      <c r="H3271" s="86"/>
      <c r="I3271" s="86"/>
      <c r="J3271" s="86"/>
      <c r="K3271" s="86"/>
      <c r="L3271" s="86"/>
      <c r="M3271" s="86"/>
      <c r="N3271" s="86"/>
      <c r="O3271" s="86"/>
    </row>
    <row r="3272" spans="2:15">
      <c r="B3272" s="88"/>
      <c r="C3272" s="86"/>
      <c r="D3272" s="86"/>
      <c r="E3272" s="86"/>
      <c r="F3272" s="86"/>
      <c r="G3272" s="86"/>
      <c r="H3272" s="86"/>
      <c r="I3272" s="86"/>
      <c r="J3272" s="86"/>
      <c r="K3272" s="86"/>
      <c r="L3272" s="86"/>
      <c r="M3272" s="86"/>
      <c r="N3272" s="86"/>
      <c r="O3272" s="86"/>
    </row>
    <row r="3273" spans="2:15">
      <c r="B3273" s="88"/>
      <c r="C3273" s="86"/>
      <c r="D3273" s="86"/>
      <c r="E3273" s="86"/>
      <c r="F3273" s="86"/>
      <c r="G3273" s="86"/>
      <c r="H3273" s="86"/>
      <c r="I3273" s="86"/>
      <c r="J3273" s="86"/>
      <c r="K3273" s="86"/>
      <c r="L3273" s="86"/>
      <c r="M3273" s="86"/>
      <c r="N3273" s="86"/>
      <c r="O3273" s="86"/>
    </row>
    <row r="3274" spans="2:15">
      <c r="B3274" s="88"/>
      <c r="C3274" s="86"/>
      <c r="D3274" s="86"/>
      <c r="E3274" s="86"/>
      <c r="F3274" s="86"/>
      <c r="G3274" s="86"/>
      <c r="H3274" s="86"/>
      <c r="I3274" s="86"/>
      <c r="J3274" s="86"/>
      <c r="K3274" s="86"/>
      <c r="L3274" s="86"/>
      <c r="M3274" s="86"/>
      <c r="N3274" s="86"/>
      <c r="O3274" s="86"/>
    </row>
    <row r="3275" spans="2:15">
      <c r="B3275" s="88"/>
      <c r="C3275" s="86"/>
      <c r="D3275" s="86"/>
      <c r="E3275" s="86"/>
      <c r="F3275" s="86"/>
      <c r="G3275" s="86"/>
      <c r="H3275" s="86"/>
      <c r="I3275" s="86"/>
      <c r="J3275" s="86"/>
      <c r="K3275" s="86"/>
      <c r="L3275" s="86"/>
      <c r="M3275" s="86"/>
      <c r="N3275" s="86"/>
      <c r="O3275" s="86"/>
    </row>
    <row r="3276" spans="2:15">
      <c r="B3276" s="88"/>
      <c r="C3276" s="86"/>
      <c r="D3276" s="86"/>
      <c r="E3276" s="86"/>
      <c r="F3276" s="86"/>
      <c r="G3276" s="86"/>
      <c r="H3276" s="86"/>
      <c r="I3276" s="86"/>
      <c r="J3276" s="86"/>
      <c r="K3276" s="86"/>
      <c r="L3276" s="86"/>
      <c r="M3276" s="86"/>
      <c r="N3276" s="86"/>
      <c r="O3276" s="86"/>
    </row>
    <row r="3277" spans="2:15">
      <c r="B3277" s="88"/>
      <c r="C3277" s="86"/>
      <c r="D3277" s="86"/>
      <c r="E3277" s="86"/>
      <c r="F3277" s="86"/>
      <c r="G3277" s="86"/>
      <c r="H3277" s="86"/>
      <c r="I3277" s="86"/>
      <c r="J3277" s="86"/>
      <c r="K3277" s="86"/>
      <c r="L3277" s="86"/>
      <c r="M3277" s="86"/>
      <c r="N3277" s="86"/>
      <c r="O3277" s="86"/>
    </row>
    <row r="3278" spans="2:15">
      <c r="B3278" s="88"/>
      <c r="C3278" s="86"/>
      <c r="D3278" s="86"/>
      <c r="E3278" s="86"/>
      <c r="F3278" s="86"/>
      <c r="G3278" s="86"/>
      <c r="H3278" s="86"/>
      <c r="I3278" s="86"/>
      <c r="J3278" s="86"/>
      <c r="K3278" s="86"/>
      <c r="L3278" s="86"/>
      <c r="M3278" s="86"/>
      <c r="N3278" s="86"/>
      <c r="O3278" s="86"/>
    </row>
    <row r="3279" spans="2:15">
      <c r="B3279" s="88"/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</row>
    <row r="3280" spans="2:15">
      <c r="B3280" s="88"/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</row>
    <row r="3281" spans="2:15">
      <c r="B3281" s="88"/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</row>
    <row r="3282" spans="2:15">
      <c r="B3282" s="88"/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</row>
    <row r="3283" spans="2:15">
      <c r="B3283" s="88"/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</row>
    <row r="3284" spans="2:15">
      <c r="B3284" s="88"/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</row>
    <row r="3285" spans="2:15">
      <c r="B3285" s="88"/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</row>
    <row r="3286" spans="2:15">
      <c r="B3286" s="88"/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</row>
    <row r="3287" spans="2:15">
      <c r="B3287" s="88"/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</row>
    <row r="3288" spans="2:15">
      <c r="B3288" s="88"/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</row>
    <row r="3289" spans="2:15">
      <c r="B3289" s="88"/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</row>
    <row r="3290" spans="2:15">
      <c r="B3290" s="88"/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</row>
    <row r="3291" spans="2:15">
      <c r="B3291" s="88"/>
      <c r="C3291" s="86"/>
      <c r="D3291" s="86"/>
      <c r="E3291" s="86"/>
      <c r="F3291" s="86"/>
      <c r="G3291" s="86"/>
      <c r="H3291" s="86"/>
      <c r="I3291" s="86"/>
      <c r="J3291" s="86"/>
      <c r="K3291" s="86"/>
      <c r="L3291" s="86"/>
      <c r="M3291" s="86"/>
      <c r="N3291" s="86"/>
      <c r="O3291" s="86"/>
    </row>
    <row r="3292" spans="2:15">
      <c r="B3292" s="88"/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</row>
    <row r="3293" spans="2:15">
      <c r="B3293" s="88"/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</row>
    <row r="3294" spans="2:15">
      <c r="B3294" s="88"/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</row>
    <row r="3295" spans="2:15">
      <c r="B3295" s="88"/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</row>
    <row r="3296" spans="2:15">
      <c r="B3296" s="88"/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</row>
    <row r="3297" spans="2:15">
      <c r="B3297" s="88"/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</row>
    <row r="3298" spans="2:15">
      <c r="B3298" s="88"/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</row>
    <row r="3299" spans="2:15">
      <c r="B3299" s="88"/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</row>
    <row r="3300" spans="2:15">
      <c r="B3300" s="88"/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</row>
    <row r="3301" spans="2:15">
      <c r="B3301" s="88"/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</row>
    <row r="3302" spans="2:15">
      <c r="B3302" s="88"/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</row>
    <row r="3303" spans="2:15">
      <c r="B3303" s="88"/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</row>
    <row r="3304" spans="2:15">
      <c r="B3304" s="88"/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</row>
    <row r="3305" spans="2:15">
      <c r="B3305" s="88"/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</row>
    <row r="3306" spans="2:15">
      <c r="B3306" s="88"/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</row>
    <row r="3307" spans="2:15">
      <c r="B3307" s="88"/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</row>
    <row r="3308" spans="2:15">
      <c r="B3308" s="88"/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</row>
    <row r="3309" spans="2:15">
      <c r="B3309" s="88"/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</row>
    <row r="3310" spans="2:15">
      <c r="B3310" s="88"/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</row>
    <row r="3311" spans="2:15">
      <c r="B3311" s="88"/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</row>
    <row r="3312" spans="2:15">
      <c r="B3312" s="88"/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</row>
    <row r="3313" spans="2:15">
      <c r="B3313" s="88"/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</row>
    <row r="3314" spans="2:15">
      <c r="B3314" s="88"/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</row>
    <row r="3315" spans="2:15">
      <c r="B3315" s="88"/>
      <c r="C3315" s="86"/>
      <c r="D3315" s="86"/>
      <c r="E3315" s="86"/>
      <c r="F3315" s="86"/>
      <c r="G3315" s="86"/>
      <c r="H3315" s="86"/>
      <c r="I3315" s="86"/>
      <c r="J3315" s="86"/>
      <c r="K3315" s="86"/>
      <c r="L3315" s="86"/>
      <c r="M3315" s="86"/>
      <c r="N3315" s="86"/>
      <c r="O3315" s="86"/>
    </row>
    <row r="3316" spans="2:15">
      <c r="B3316" s="88"/>
      <c r="C3316" s="86"/>
      <c r="D3316" s="86"/>
      <c r="E3316" s="86"/>
      <c r="F3316" s="86"/>
      <c r="G3316" s="86"/>
      <c r="H3316" s="86"/>
      <c r="I3316" s="86"/>
      <c r="J3316" s="86"/>
      <c r="K3316" s="86"/>
      <c r="L3316" s="86"/>
      <c r="M3316" s="86"/>
      <c r="N3316" s="86"/>
      <c r="O3316" s="86"/>
    </row>
    <row r="3317" spans="2:15">
      <c r="B3317" s="88"/>
      <c r="C3317" s="86"/>
      <c r="D3317" s="86"/>
      <c r="E3317" s="86"/>
      <c r="F3317" s="86"/>
      <c r="G3317" s="86"/>
      <c r="H3317" s="86"/>
      <c r="I3317" s="86"/>
      <c r="J3317" s="86"/>
      <c r="K3317" s="86"/>
      <c r="L3317" s="86"/>
      <c r="M3317" s="86"/>
      <c r="N3317" s="86"/>
      <c r="O3317" s="86"/>
    </row>
    <row r="3318" spans="2:15">
      <c r="B3318" s="88"/>
      <c r="C3318" s="86"/>
      <c r="D3318" s="86"/>
      <c r="E3318" s="86"/>
      <c r="F3318" s="86"/>
      <c r="G3318" s="86"/>
      <c r="H3318" s="86"/>
      <c r="I3318" s="86"/>
      <c r="J3318" s="86"/>
      <c r="K3318" s="86"/>
      <c r="L3318" s="86"/>
      <c r="M3318" s="86"/>
      <c r="N3318" s="86"/>
      <c r="O3318" s="86"/>
    </row>
    <row r="3319" spans="2:15">
      <c r="B3319" s="88"/>
      <c r="C3319" s="86"/>
      <c r="D3319" s="86"/>
      <c r="E3319" s="86"/>
      <c r="F3319" s="86"/>
      <c r="G3319" s="86"/>
      <c r="H3319" s="86"/>
      <c r="I3319" s="86"/>
      <c r="J3319" s="86"/>
      <c r="K3319" s="86"/>
      <c r="L3319" s="86"/>
      <c r="M3319" s="86"/>
      <c r="N3319" s="86"/>
      <c r="O3319" s="86"/>
    </row>
    <row r="3320" spans="2:15">
      <c r="B3320" s="88"/>
      <c r="C3320" s="86"/>
      <c r="D3320" s="86"/>
      <c r="E3320" s="86"/>
      <c r="F3320" s="86"/>
      <c r="G3320" s="86"/>
      <c r="H3320" s="86"/>
      <c r="I3320" s="86"/>
      <c r="J3320" s="86"/>
      <c r="K3320" s="86"/>
      <c r="L3320" s="86"/>
      <c r="M3320" s="86"/>
      <c r="N3320" s="86"/>
      <c r="O3320" s="86"/>
    </row>
    <row r="3321" spans="2:15">
      <c r="B3321" s="88"/>
      <c r="C3321" s="86"/>
      <c r="D3321" s="86"/>
      <c r="E3321" s="86"/>
      <c r="F3321" s="86"/>
      <c r="G3321" s="86"/>
      <c r="H3321" s="86"/>
      <c r="I3321" s="86"/>
      <c r="J3321" s="86"/>
      <c r="K3321" s="86"/>
      <c r="L3321" s="86"/>
      <c r="M3321" s="86"/>
      <c r="N3321" s="86"/>
      <c r="O3321" s="86"/>
    </row>
    <row r="3322" spans="2:15">
      <c r="B3322" s="88"/>
      <c r="C3322" s="86"/>
      <c r="D3322" s="86"/>
      <c r="E3322" s="86"/>
      <c r="F3322" s="86"/>
      <c r="G3322" s="86"/>
      <c r="H3322" s="86"/>
      <c r="I3322" s="86"/>
      <c r="J3322" s="86"/>
      <c r="K3322" s="86"/>
      <c r="L3322" s="86"/>
      <c r="M3322" s="86"/>
      <c r="N3322" s="86"/>
      <c r="O3322" s="86"/>
    </row>
    <row r="3323" spans="2:15">
      <c r="B3323" s="88"/>
      <c r="C3323" s="86"/>
      <c r="D3323" s="86"/>
      <c r="E3323" s="86"/>
      <c r="F3323" s="86"/>
      <c r="G3323" s="86"/>
      <c r="H3323" s="86"/>
      <c r="I3323" s="86"/>
      <c r="J3323" s="86"/>
      <c r="K3323" s="86"/>
      <c r="L3323" s="86"/>
      <c r="M3323" s="86"/>
      <c r="N3323" s="86"/>
      <c r="O3323" s="86"/>
    </row>
    <row r="3324" spans="2:15">
      <c r="B3324" s="88"/>
      <c r="C3324" s="86"/>
      <c r="D3324" s="86"/>
      <c r="E3324" s="86"/>
      <c r="F3324" s="86"/>
      <c r="G3324" s="86"/>
      <c r="H3324" s="86"/>
      <c r="I3324" s="86"/>
      <c r="J3324" s="86"/>
      <c r="K3324" s="86"/>
      <c r="L3324" s="86"/>
      <c r="M3324" s="86"/>
      <c r="N3324" s="86"/>
      <c r="O3324" s="86"/>
    </row>
    <row r="3325" spans="2:15">
      <c r="B3325" s="88"/>
      <c r="C3325" s="86"/>
      <c r="D3325" s="86"/>
      <c r="E3325" s="86"/>
      <c r="F3325" s="86"/>
      <c r="G3325" s="86"/>
      <c r="H3325" s="86"/>
      <c r="I3325" s="86"/>
      <c r="J3325" s="86"/>
      <c r="K3325" s="86"/>
      <c r="L3325" s="86"/>
      <c r="M3325" s="86"/>
      <c r="N3325" s="86"/>
      <c r="O3325" s="86"/>
    </row>
    <row r="3326" spans="2:15">
      <c r="B3326" s="88"/>
      <c r="C3326" s="86"/>
      <c r="D3326" s="86"/>
      <c r="E3326" s="86"/>
      <c r="F3326" s="86"/>
      <c r="G3326" s="86"/>
      <c r="H3326" s="86"/>
      <c r="I3326" s="86"/>
      <c r="J3326" s="86"/>
      <c r="K3326" s="86"/>
      <c r="L3326" s="86"/>
      <c r="M3326" s="86"/>
      <c r="N3326" s="86"/>
      <c r="O3326" s="86"/>
    </row>
    <row r="3327" spans="2:15">
      <c r="B3327" s="88"/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</row>
    <row r="3328" spans="2:15">
      <c r="B3328" s="88"/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</row>
    <row r="3329" spans="2:15">
      <c r="B3329" s="88"/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</row>
    <row r="3330" spans="2:15">
      <c r="B3330" s="88"/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</row>
    <row r="3331" spans="2:15">
      <c r="B3331" s="88"/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</row>
    <row r="3332" spans="2:15">
      <c r="B3332" s="88"/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</row>
    <row r="3333" spans="2:15">
      <c r="B3333" s="88"/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</row>
    <row r="3334" spans="2:15">
      <c r="B3334" s="88"/>
      <c r="C3334" s="86"/>
      <c r="D3334" s="86"/>
      <c r="E3334" s="86"/>
      <c r="F3334" s="86"/>
      <c r="G3334" s="86"/>
      <c r="H3334" s="86"/>
      <c r="I3334" s="86"/>
      <c r="J3334" s="86"/>
      <c r="K3334" s="86"/>
      <c r="L3334" s="86"/>
      <c r="M3334" s="86"/>
      <c r="N3334" s="86"/>
      <c r="O3334" s="86"/>
    </row>
    <row r="3335" spans="2:15">
      <c r="B3335" s="88"/>
      <c r="C3335" s="86"/>
      <c r="D3335" s="86"/>
      <c r="E3335" s="86"/>
      <c r="F3335" s="86"/>
      <c r="G3335" s="86"/>
      <c r="H3335" s="86"/>
      <c r="I3335" s="86"/>
      <c r="J3335" s="86"/>
      <c r="K3335" s="86"/>
      <c r="L3335" s="86"/>
      <c r="M3335" s="86"/>
      <c r="N3335" s="86"/>
      <c r="O3335" s="86"/>
    </row>
    <row r="3336" spans="2:15">
      <c r="B3336" s="88"/>
      <c r="C3336" s="86"/>
      <c r="D3336" s="86"/>
      <c r="E3336" s="86"/>
      <c r="F3336" s="86"/>
      <c r="G3336" s="86"/>
      <c r="H3336" s="86"/>
      <c r="I3336" s="86"/>
      <c r="J3336" s="86"/>
      <c r="K3336" s="86"/>
      <c r="L3336" s="86"/>
      <c r="M3336" s="86"/>
      <c r="N3336" s="86"/>
      <c r="O3336" s="86"/>
    </row>
    <row r="3337" spans="2:15">
      <c r="B3337" s="88"/>
      <c r="C3337" s="86"/>
      <c r="D3337" s="86"/>
      <c r="E3337" s="86"/>
      <c r="F3337" s="86"/>
      <c r="G3337" s="86"/>
      <c r="H3337" s="86"/>
      <c r="I3337" s="86"/>
      <c r="J3337" s="86"/>
      <c r="K3337" s="86"/>
      <c r="L3337" s="86"/>
      <c r="M3337" s="86"/>
      <c r="N3337" s="86"/>
      <c r="O3337" s="86"/>
    </row>
    <row r="3338" spans="2:15">
      <c r="B3338" s="88"/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</row>
    <row r="3339" spans="2:15">
      <c r="B3339" s="88"/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</row>
    <row r="3340" spans="2:15">
      <c r="B3340" s="88"/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</row>
    <row r="3341" spans="2:15">
      <c r="B3341" s="88"/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</row>
    <row r="3342" spans="2:15">
      <c r="B3342" s="88"/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</row>
    <row r="3343" spans="2:15">
      <c r="B3343" s="88"/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</row>
    <row r="3344" spans="2:15">
      <c r="B3344" s="88"/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</row>
    <row r="3345" spans="2:15">
      <c r="B3345" s="88"/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</row>
    <row r="3346" spans="2:15">
      <c r="B3346" s="88"/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</row>
    <row r="3347" spans="2:15">
      <c r="B3347" s="88"/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</row>
    <row r="3348" spans="2:15">
      <c r="B3348" s="88"/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</row>
    <row r="3349" spans="2:15">
      <c r="B3349" s="88"/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</row>
    <row r="3350" spans="2:15">
      <c r="B3350" s="88"/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</row>
    <row r="3351" spans="2:15">
      <c r="B3351" s="88"/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</row>
    <row r="3352" spans="2:15">
      <c r="B3352" s="88"/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</row>
    <row r="3353" spans="2:15">
      <c r="B3353" s="88"/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</row>
    <row r="3354" spans="2:15">
      <c r="B3354" s="88"/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</row>
    <row r="3355" spans="2:15">
      <c r="B3355" s="88"/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</row>
    <row r="3356" spans="2:15">
      <c r="B3356" s="88"/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</row>
    <row r="3357" spans="2:15">
      <c r="B3357" s="88"/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</row>
    <row r="3358" spans="2:15">
      <c r="B3358" s="88"/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</row>
    <row r="3359" spans="2:15">
      <c r="B3359" s="88"/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</row>
    <row r="3360" spans="2:15">
      <c r="B3360" s="88"/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</row>
    <row r="3361" spans="2:15">
      <c r="B3361" s="88"/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</row>
    <row r="3362" spans="2:15">
      <c r="B3362" s="88"/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</row>
    <row r="3363" spans="2:15">
      <c r="B3363" s="88"/>
      <c r="C3363" s="86"/>
      <c r="D3363" s="86"/>
      <c r="E3363" s="86"/>
      <c r="F3363" s="86"/>
      <c r="G3363" s="86"/>
      <c r="H3363" s="86"/>
      <c r="I3363" s="86"/>
      <c r="J3363" s="86"/>
      <c r="K3363" s="86"/>
      <c r="L3363" s="86"/>
      <c r="M3363" s="86"/>
      <c r="N3363" s="86"/>
      <c r="O3363" s="86"/>
    </row>
    <row r="3364" spans="2:15">
      <c r="B3364" s="88"/>
      <c r="C3364" s="86"/>
      <c r="D3364" s="86"/>
      <c r="E3364" s="86"/>
      <c r="F3364" s="86"/>
      <c r="G3364" s="86"/>
      <c r="H3364" s="86"/>
      <c r="I3364" s="86"/>
      <c r="J3364" s="86"/>
      <c r="K3364" s="86"/>
      <c r="L3364" s="86"/>
      <c r="M3364" s="86"/>
      <c r="N3364" s="86"/>
      <c r="O3364" s="86"/>
    </row>
    <row r="3365" spans="2:15">
      <c r="B3365" s="88"/>
      <c r="C3365" s="86"/>
      <c r="D3365" s="86"/>
      <c r="E3365" s="86"/>
      <c r="F3365" s="86"/>
      <c r="G3365" s="86"/>
      <c r="H3365" s="86"/>
      <c r="I3365" s="86"/>
      <c r="J3365" s="86"/>
      <c r="K3365" s="86"/>
      <c r="L3365" s="86"/>
      <c r="M3365" s="86"/>
      <c r="N3365" s="86"/>
      <c r="O3365" s="86"/>
    </row>
    <row r="3366" spans="2:15">
      <c r="B3366" s="88"/>
      <c r="C3366" s="86"/>
      <c r="D3366" s="86"/>
      <c r="E3366" s="86"/>
      <c r="F3366" s="86"/>
      <c r="G3366" s="86"/>
      <c r="H3366" s="86"/>
      <c r="I3366" s="86"/>
      <c r="J3366" s="86"/>
      <c r="K3366" s="86"/>
      <c r="L3366" s="86"/>
      <c r="M3366" s="86"/>
      <c r="N3366" s="86"/>
      <c r="O3366" s="86"/>
    </row>
    <row r="3367" spans="2:15">
      <c r="B3367" s="88"/>
      <c r="C3367" s="86"/>
      <c r="D3367" s="86"/>
      <c r="E3367" s="86"/>
      <c r="F3367" s="86"/>
      <c r="G3367" s="86"/>
      <c r="H3367" s="86"/>
      <c r="I3367" s="86"/>
      <c r="J3367" s="86"/>
      <c r="K3367" s="86"/>
      <c r="L3367" s="86"/>
      <c r="M3367" s="86"/>
      <c r="N3367" s="86"/>
      <c r="O3367" s="86"/>
    </row>
    <row r="3368" spans="2:15">
      <c r="B3368" s="88"/>
      <c r="C3368" s="86"/>
      <c r="D3368" s="86"/>
      <c r="E3368" s="86"/>
      <c r="F3368" s="86"/>
      <c r="G3368" s="86"/>
      <c r="H3368" s="86"/>
      <c r="I3368" s="86"/>
      <c r="J3368" s="86"/>
      <c r="K3368" s="86"/>
      <c r="L3368" s="86"/>
      <c r="M3368" s="86"/>
      <c r="N3368" s="86"/>
      <c r="O3368" s="86"/>
    </row>
    <row r="3369" spans="2:15">
      <c r="B3369" s="88"/>
      <c r="C3369" s="86"/>
      <c r="D3369" s="86"/>
      <c r="E3369" s="86"/>
      <c r="F3369" s="86"/>
      <c r="G3369" s="86"/>
      <c r="H3369" s="86"/>
      <c r="I3369" s="86"/>
      <c r="J3369" s="86"/>
      <c r="K3369" s="86"/>
      <c r="L3369" s="86"/>
      <c r="M3369" s="86"/>
      <c r="N3369" s="86"/>
      <c r="O3369" s="86"/>
    </row>
    <row r="3370" spans="2:15">
      <c r="B3370" s="88"/>
      <c r="C3370" s="86"/>
      <c r="D3370" s="86"/>
      <c r="E3370" s="86"/>
      <c r="F3370" s="86"/>
      <c r="G3370" s="86"/>
      <c r="H3370" s="86"/>
      <c r="I3370" s="86"/>
      <c r="J3370" s="86"/>
      <c r="K3370" s="86"/>
      <c r="L3370" s="86"/>
      <c r="M3370" s="86"/>
      <c r="N3370" s="86"/>
      <c r="O3370" s="86"/>
    </row>
    <row r="3371" spans="2:15">
      <c r="B3371" s="88"/>
      <c r="C3371" s="86"/>
      <c r="D3371" s="86"/>
      <c r="E3371" s="86"/>
      <c r="F3371" s="86"/>
      <c r="G3371" s="86"/>
      <c r="H3371" s="86"/>
      <c r="I3371" s="86"/>
      <c r="J3371" s="86"/>
      <c r="K3371" s="86"/>
      <c r="L3371" s="86"/>
      <c r="M3371" s="86"/>
      <c r="N3371" s="86"/>
      <c r="O3371" s="86"/>
    </row>
    <row r="3372" spans="2:15">
      <c r="B3372" s="88"/>
      <c r="C3372" s="86"/>
      <c r="D3372" s="86"/>
      <c r="E3372" s="86"/>
      <c r="F3372" s="86"/>
      <c r="G3372" s="86"/>
      <c r="H3372" s="86"/>
      <c r="I3372" s="86"/>
      <c r="J3372" s="86"/>
      <c r="K3372" s="86"/>
      <c r="L3372" s="86"/>
      <c r="M3372" s="86"/>
      <c r="N3372" s="86"/>
      <c r="O3372" s="86"/>
    </row>
    <row r="3373" spans="2:15">
      <c r="B3373" s="88"/>
      <c r="C3373" s="86"/>
      <c r="D3373" s="86"/>
      <c r="E3373" s="86"/>
      <c r="F3373" s="86"/>
      <c r="G3373" s="86"/>
      <c r="H3373" s="86"/>
      <c r="I3373" s="86"/>
      <c r="J3373" s="86"/>
      <c r="K3373" s="86"/>
      <c r="L3373" s="86"/>
      <c r="M3373" s="86"/>
      <c r="N3373" s="86"/>
      <c r="O3373" s="86"/>
    </row>
    <row r="3374" spans="2:15">
      <c r="B3374" s="88"/>
      <c r="C3374" s="86"/>
      <c r="D3374" s="86"/>
      <c r="E3374" s="86"/>
      <c r="F3374" s="86"/>
      <c r="G3374" s="86"/>
      <c r="H3374" s="86"/>
      <c r="I3374" s="86"/>
      <c r="J3374" s="86"/>
      <c r="K3374" s="86"/>
      <c r="L3374" s="86"/>
      <c r="M3374" s="86"/>
      <c r="N3374" s="86"/>
      <c r="O3374" s="86"/>
    </row>
    <row r="3375" spans="2:15">
      <c r="B3375" s="88"/>
      <c r="C3375" s="86"/>
      <c r="D3375" s="86"/>
      <c r="E3375" s="86"/>
      <c r="F3375" s="86"/>
      <c r="G3375" s="86"/>
      <c r="H3375" s="86"/>
      <c r="I3375" s="86"/>
      <c r="J3375" s="86"/>
      <c r="K3375" s="86"/>
      <c r="L3375" s="86"/>
      <c r="M3375" s="86"/>
      <c r="N3375" s="86"/>
      <c r="O3375" s="86"/>
    </row>
    <row r="3376" spans="2:15">
      <c r="B3376" s="88"/>
      <c r="C3376" s="86"/>
      <c r="D3376" s="86"/>
      <c r="E3376" s="86"/>
      <c r="F3376" s="86"/>
      <c r="G3376" s="86"/>
      <c r="H3376" s="86"/>
      <c r="I3376" s="86"/>
      <c r="J3376" s="86"/>
      <c r="K3376" s="86"/>
      <c r="L3376" s="86"/>
      <c r="M3376" s="86"/>
      <c r="N3376" s="86"/>
      <c r="O3376" s="86"/>
    </row>
    <row r="3377" spans="2:15">
      <c r="B3377" s="88"/>
      <c r="C3377" s="86"/>
      <c r="D3377" s="86"/>
      <c r="E3377" s="86"/>
      <c r="F3377" s="86"/>
      <c r="G3377" s="86"/>
      <c r="H3377" s="86"/>
      <c r="I3377" s="86"/>
      <c r="J3377" s="86"/>
      <c r="K3377" s="86"/>
      <c r="L3377" s="86"/>
      <c r="M3377" s="86"/>
      <c r="N3377" s="86"/>
      <c r="O3377" s="86"/>
    </row>
    <row r="3378" spans="2:15">
      <c r="B3378" s="88"/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</row>
    <row r="3379" spans="2:15">
      <c r="B3379" s="88"/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</row>
    <row r="3380" spans="2:15">
      <c r="B3380" s="88"/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</row>
    <row r="3381" spans="2:15">
      <c r="B3381" s="88"/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</row>
    <row r="3382" spans="2:15">
      <c r="B3382" s="88"/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</row>
    <row r="3383" spans="2:15">
      <c r="B3383" s="88"/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</row>
    <row r="3384" spans="2:15">
      <c r="B3384" s="88"/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</row>
    <row r="3385" spans="2:15">
      <c r="B3385" s="88"/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</row>
    <row r="3386" spans="2:15">
      <c r="B3386" s="88"/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</row>
    <row r="3387" spans="2:15">
      <c r="B3387" s="88"/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</row>
    <row r="3388" spans="2:15">
      <c r="B3388" s="88"/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</row>
    <row r="3389" spans="2:15">
      <c r="B3389" s="88"/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</row>
    <row r="3390" spans="2:15">
      <c r="B3390" s="88"/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</row>
    <row r="3391" spans="2:15">
      <c r="B3391" s="88"/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</row>
    <row r="3392" spans="2:15">
      <c r="B3392" s="88"/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</row>
    <row r="3393" spans="2:15">
      <c r="B3393" s="88"/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</row>
    <row r="3394" spans="2:15">
      <c r="B3394" s="88"/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</row>
    <row r="3395" spans="2:15">
      <c r="B3395" s="88"/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</row>
    <row r="3396" spans="2:15">
      <c r="B3396" s="88"/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</row>
    <row r="3397" spans="2:15">
      <c r="B3397" s="88"/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</row>
    <row r="3398" spans="2:15">
      <c r="B3398" s="88"/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</row>
    <row r="3399" spans="2:15">
      <c r="B3399" s="88"/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</row>
    <row r="3400" spans="2:15">
      <c r="B3400" s="88"/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</row>
    <row r="3401" spans="2:15">
      <c r="B3401" s="88"/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</row>
    <row r="3402" spans="2:15">
      <c r="B3402" s="88"/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</row>
    <row r="3403" spans="2:15">
      <c r="B3403" s="88"/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</row>
    <row r="3404" spans="2:15">
      <c r="B3404" s="88"/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</row>
    <row r="3405" spans="2:15">
      <c r="B3405" s="88"/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</row>
    <row r="3406" spans="2:15">
      <c r="B3406" s="88"/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</row>
    <row r="3407" spans="2:15">
      <c r="B3407" s="88"/>
      <c r="C3407" s="86"/>
      <c r="D3407" s="86"/>
      <c r="E3407" s="86"/>
      <c r="F3407" s="86"/>
      <c r="G3407" s="86"/>
      <c r="H3407" s="86"/>
      <c r="I3407" s="86"/>
      <c r="J3407" s="86"/>
      <c r="K3407" s="86"/>
      <c r="L3407" s="86"/>
      <c r="M3407" s="86"/>
      <c r="N3407" s="86"/>
      <c r="O3407" s="86"/>
    </row>
    <row r="3408" spans="2:15">
      <c r="B3408" s="88"/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</row>
    <row r="3409" spans="2:15">
      <c r="B3409" s="88"/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</row>
    <row r="3410" spans="2:15">
      <c r="B3410" s="88"/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</row>
    <row r="3411" spans="2:15">
      <c r="B3411" s="88"/>
      <c r="C3411" s="86"/>
      <c r="D3411" s="86"/>
      <c r="E3411" s="86"/>
      <c r="F3411" s="86"/>
      <c r="G3411" s="86"/>
      <c r="H3411" s="86"/>
      <c r="I3411" s="86"/>
      <c r="J3411" s="86"/>
      <c r="K3411" s="86"/>
      <c r="L3411" s="86"/>
      <c r="M3411" s="86"/>
      <c r="N3411" s="86"/>
      <c r="O3411" s="86"/>
    </row>
    <row r="3412" spans="2:15">
      <c r="B3412" s="88"/>
      <c r="C3412" s="86"/>
      <c r="D3412" s="86"/>
      <c r="E3412" s="86"/>
      <c r="F3412" s="86"/>
      <c r="G3412" s="86"/>
      <c r="H3412" s="86"/>
      <c r="I3412" s="86"/>
      <c r="J3412" s="86"/>
      <c r="K3412" s="86"/>
      <c r="L3412" s="86"/>
      <c r="M3412" s="86"/>
      <c r="N3412" s="86"/>
      <c r="O3412" s="86"/>
    </row>
    <row r="3413" spans="2:15">
      <c r="B3413" s="88"/>
      <c r="C3413" s="86"/>
      <c r="D3413" s="86"/>
      <c r="E3413" s="86"/>
      <c r="F3413" s="86"/>
      <c r="G3413" s="86"/>
      <c r="H3413" s="86"/>
      <c r="I3413" s="86"/>
      <c r="J3413" s="86"/>
      <c r="K3413" s="86"/>
      <c r="L3413" s="86"/>
      <c r="M3413" s="86"/>
      <c r="N3413" s="86"/>
      <c r="O3413" s="86"/>
    </row>
    <row r="3414" spans="2:15">
      <c r="B3414" s="88"/>
      <c r="C3414" s="86"/>
      <c r="D3414" s="86"/>
      <c r="E3414" s="86"/>
      <c r="F3414" s="86"/>
      <c r="G3414" s="86"/>
      <c r="H3414" s="86"/>
      <c r="I3414" s="86"/>
      <c r="J3414" s="86"/>
      <c r="K3414" s="86"/>
      <c r="L3414" s="86"/>
      <c r="M3414" s="86"/>
      <c r="N3414" s="86"/>
      <c r="O3414" s="86"/>
    </row>
    <row r="3415" spans="2:15">
      <c r="B3415" s="88"/>
      <c r="C3415" s="86"/>
      <c r="D3415" s="86"/>
      <c r="E3415" s="86"/>
      <c r="F3415" s="86"/>
      <c r="G3415" s="86"/>
      <c r="H3415" s="86"/>
      <c r="I3415" s="86"/>
      <c r="J3415" s="86"/>
      <c r="K3415" s="86"/>
      <c r="L3415" s="86"/>
      <c r="M3415" s="86"/>
      <c r="N3415" s="86"/>
      <c r="O3415" s="86"/>
    </row>
    <row r="3416" spans="2:15">
      <c r="B3416" s="88"/>
      <c r="C3416" s="86"/>
      <c r="D3416" s="86"/>
      <c r="E3416" s="86"/>
      <c r="F3416" s="86"/>
      <c r="G3416" s="86"/>
      <c r="H3416" s="86"/>
      <c r="I3416" s="86"/>
      <c r="J3416" s="86"/>
      <c r="K3416" s="86"/>
      <c r="L3416" s="86"/>
      <c r="M3416" s="86"/>
      <c r="N3416" s="86"/>
      <c r="O3416" s="86"/>
    </row>
    <row r="3417" spans="2:15">
      <c r="B3417" s="88"/>
      <c r="C3417" s="86"/>
      <c r="D3417" s="86"/>
      <c r="E3417" s="86"/>
      <c r="F3417" s="86"/>
      <c r="G3417" s="86"/>
      <c r="H3417" s="86"/>
      <c r="I3417" s="86"/>
      <c r="J3417" s="86"/>
      <c r="K3417" s="86"/>
      <c r="L3417" s="86"/>
      <c r="M3417" s="86"/>
      <c r="N3417" s="86"/>
      <c r="O3417" s="86"/>
    </row>
    <row r="3418" spans="2:15">
      <c r="B3418" s="88"/>
      <c r="C3418" s="86"/>
      <c r="D3418" s="86"/>
      <c r="E3418" s="86"/>
      <c r="F3418" s="86"/>
      <c r="G3418" s="86"/>
      <c r="H3418" s="86"/>
      <c r="I3418" s="86"/>
      <c r="J3418" s="86"/>
      <c r="K3418" s="86"/>
      <c r="L3418" s="86"/>
      <c r="M3418" s="86"/>
      <c r="N3418" s="86"/>
      <c r="O3418" s="86"/>
    </row>
    <row r="3419" spans="2:15">
      <c r="B3419" s="88"/>
      <c r="C3419" s="86"/>
      <c r="D3419" s="86"/>
      <c r="E3419" s="86"/>
      <c r="F3419" s="86"/>
      <c r="G3419" s="86"/>
      <c r="H3419" s="86"/>
      <c r="I3419" s="86"/>
      <c r="J3419" s="86"/>
      <c r="K3419" s="86"/>
      <c r="L3419" s="86"/>
      <c r="M3419" s="86"/>
      <c r="N3419" s="86"/>
      <c r="O3419" s="86"/>
    </row>
    <row r="3420" spans="2:15">
      <c r="B3420" s="88"/>
      <c r="C3420" s="86"/>
      <c r="D3420" s="86"/>
      <c r="E3420" s="86"/>
      <c r="F3420" s="86"/>
      <c r="G3420" s="86"/>
      <c r="H3420" s="86"/>
      <c r="I3420" s="86"/>
      <c r="J3420" s="86"/>
      <c r="K3420" s="86"/>
      <c r="L3420" s="86"/>
      <c r="M3420" s="86"/>
      <c r="N3420" s="86"/>
      <c r="O3420" s="86"/>
    </row>
    <row r="3421" spans="2:15">
      <c r="B3421" s="88"/>
      <c r="C3421" s="86"/>
      <c r="D3421" s="86"/>
      <c r="E3421" s="86"/>
      <c r="F3421" s="86"/>
      <c r="G3421" s="86"/>
      <c r="H3421" s="86"/>
      <c r="I3421" s="86"/>
      <c r="J3421" s="86"/>
      <c r="K3421" s="86"/>
      <c r="L3421" s="86"/>
      <c r="M3421" s="86"/>
      <c r="N3421" s="86"/>
      <c r="O3421" s="86"/>
    </row>
    <row r="3422" spans="2:15">
      <c r="B3422" s="88"/>
      <c r="C3422" s="86"/>
      <c r="D3422" s="86"/>
      <c r="E3422" s="86"/>
      <c r="F3422" s="86"/>
      <c r="G3422" s="86"/>
      <c r="H3422" s="86"/>
      <c r="I3422" s="86"/>
      <c r="J3422" s="86"/>
      <c r="K3422" s="86"/>
      <c r="L3422" s="86"/>
      <c r="M3422" s="86"/>
      <c r="N3422" s="86"/>
      <c r="O3422" s="86"/>
    </row>
    <row r="3423" spans="2:15">
      <c r="B3423" s="88"/>
      <c r="C3423" s="86"/>
      <c r="D3423" s="86"/>
      <c r="E3423" s="86"/>
      <c r="F3423" s="86"/>
      <c r="G3423" s="86"/>
      <c r="H3423" s="86"/>
      <c r="I3423" s="86"/>
      <c r="J3423" s="86"/>
      <c r="K3423" s="86"/>
      <c r="L3423" s="86"/>
      <c r="M3423" s="86"/>
      <c r="N3423" s="86"/>
      <c r="O3423" s="86"/>
    </row>
    <row r="3424" spans="2:15">
      <c r="B3424" s="88"/>
      <c r="C3424" s="86"/>
      <c r="D3424" s="86"/>
      <c r="E3424" s="86"/>
      <c r="F3424" s="86"/>
      <c r="G3424" s="86"/>
      <c r="H3424" s="86"/>
      <c r="I3424" s="86"/>
      <c r="J3424" s="86"/>
      <c r="K3424" s="86"/>
      <c r="L3424" s="86"/>
      <c r="M3424" s="86"/>
      <c r="N3424" s="86"/>
      <c r="O3424" s="86"/>
    </row>
    <row r="3425" spans="2:15">
      <c r="B3425" s="88"/>
      <c r="C3425" s="86"/>
      <c r="D3425" s="86"/>
      <c r="E3425" s="86"/>
      <c r="F3425" s="86"/>
      <c r="G3425" s="86"/>
      <c r="H3425" s="86"/>
      <c r="I3425" s="86"/>
      <c r="J3425" s="86"/>
      <c r="K3425" s="86"/>
      <c r="L3425" s="86"/>
      <c r="M3425" s="86"/>
      <c r="N3425" s="86"/>
      <c r="O3425" s="86"/>
    </row>
    <row r="3426" spans="2:15">
      <c r="B3426" s="88"/>
      <c r="C3426" s="86"/>
      <c r="D3426" s="86"/>
      <c r="E3426" s="86"/>
      <c r="F3426" s="86"/>
      <c r="G3426" s="86"/>
      <c r="H3426" s="86"/>
      <c r="I3426" s="86"/>
      <c r="J3426" s="86"/>
      <c r="K3426" s="86"/>
      <c r="L3426" s="86"/>
      <c r="M3426" s="86"/>
      <c r="N3426" s="86"/>
      <c r="O3426" s="86"/>
    </row>
    <row r="3427" spans="2:15">
      <c r="B3427" s="88"/>
      <c r="C3427" s="86"/>
      <c r="D3427" s="86"/>
      <c r="E3427" s="86"/>
      <c r="F3427" s="86"/>
      <c r="G3427" s="86"/>
      <c r="H3427" s="86"/>
      <c r="I3427" s="86"/>
      <c r="J3427" s="86"/>
      <c r="K3427" s="86"/>
      <c r="L3427" s="86"/>
      <c r="M3427" s="86"/>
      <c r="N3427" s="86"/>
      <c r="O3427" s="86"/>
    </row>
    <row r="3428" spans="2:15">
      <c r="B3428" s="88"/>
      <c r="C3428" s="86"/>
      <c r="D3428" s="86"/>
      <c r="E3428" s="86"/>
      <c r="F3428" s="86"/>
      <c r="G3428" s="86"/>
      <c r="H3428" s="86"/>
      <c r="I3428" s="86"/>
      <c r="J3428" s="86"/>
      <c r="K3428" s="86"/>
      <c r="L3428" s="86"/>
      <c r="M3428" s="86"/>
      <c r="N3428" s="86"/>
      <c r="O3428" s="86"/>
    </row>
    <row r="3429" spans="2:15">
      <c r="B3429" s="88"/>
      <c r="C3429" s="86"/>
      <c r="D3429" s="86"/>
      <c r="E3429" s="86"/>
      <c r="F3429" s="86"/>
      <c r="G3429" s="86"/>
      <c r="H3429" s="86"/>
      <c r="I3429" s="86"/>
      <c r="J3429" s="86"/>
      <c r="K3429" s="86"/>
      <c r="L3429" s="86"/>
      <c r="M3429" s="86"/>
      <c r="N3429" s="86"/>
      <c r="O3429" s="86"/>
    </row>
    <row r="3430" spans="2:15">
      <c r="B3430" s="88"/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</row>
    <row r="3431" spans="2:15">
      <c r="B3431" s="88"/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</row>
    <row r="3432" spans="2:15">
      <c r="B3432" s="88"/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</row>
    <row r="3433" spans="2:15">
      <c r="B3433" s="88"/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</row>
    <row r="3434" spans="2:15">
      <c r="B3434" s="88"/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</row>
    <row r="3435" spans="2:15">
      <c r="B3435" s="88"/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</row>
    <row r="3436" spans="2:15">
      <c r="B3436" s="88"/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</row>
    <row r="3437" spans="2:15">
      <c r="B3437" s="88"/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</row>
    <row r="3438" spans="2:15">
      <c r="B3438" s="88"/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</row>
    <row r="3439" spans="2:15">
      <c r="B3439" s="88"/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</row>
    <row r="3440" spans="2:15">
      <c r="B3440" s="88"/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</row>
    <row r="3441" spans="2:15">
      <c r="B3441" s="88"/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</row>
    <row r="3442" spans="2:15">
      <c r="B3442" s="88"/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</row>
    <row r="3443" spans="2:15">
      <c r="B3443" s="88"/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</row>
    <row r="3444" spans="2:15">
      <c r="B3444" s="88"/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</row>
    <row r="3445" spans="2:15">
      <c r="B3445" s="88"/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</row>
    <row r="3446" spans="2:15">
      <c r="B3446" s="88"/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</row>
    <row r="3447" spans="2:15">
      <c r="B3447" s="88"/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</row>
    <row r="3448" spans="2:15">
      <c r="B3448" s="88"/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</row>
    <row r="3449" spans="2:15">
      <c r="B3449" s="88"/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</row>
    <row r="3450" spans="2:15">
      <c r="B3450" s="88"/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</row>
    <row r="3451" spans="2:15">
      <c r="B3451" s="88"/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</row>
    <row r="3452" spans="2:15">
      <c r="B3452" s="88"/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</row>
    <row r="3453" spans="2:15">
      <c r="B3453" s="88"/>
      <c r="C3453" s="86"/>
      <c r="D3453" s="86"/>
      <c r="E3453" s="86"/>
      <c r="F3453" s="86"/>
      <c r="G3453" s="86"/>
      <c r="H3453" s="86"/>
      <c r="I3453" s="86"/>
      <c r="J3453" s="86"/>
      <c r="K3453" s="86"/>
      <c r="L3453" s="86"/>
      <c r="M3453" s="86"/>
      <c r="N3453" s="86"/>
      <c r="O3453" s="86"/>
    </row>
    <row r="3454" spans="2:15">
      <c r="B3454" s="88"/>
      <c r="C3454" s="86"/>
      <c r="D3454" s="86"/>
      <c r="E3454" s="86"/>
      <c r="F3454" s="86"/>
      <c r="G3454" s="86"/>
      <c r="H3454" s="86"/>
      <c r="I3454" s="86"/>
      <c r="J3454" s="86"/>
      <c r="K3454" s="86"/>
      <c r="L3454" s="86"/>
      <c r="M3454" s="86"/>
      <c r="N3454" s="86"/>
      <c r="O3454" s="86"/>
    </row>
    <row r="3455" spans="2:15">
      <c r="B3455" s="88"/>
      <c r="C3455" s="86"/>
      <c r="D3455" s="86"/>
      <c r="E3455" s="86"/>
      <c r="F3455" s="86"/>
      <c r="G3455" s="86"/>
      <c r="H3455" s="86"/>
      <c r="I3455" s="86"/>
      <c r="J3455" s="86"/>
      <c r="K3455" s="86"/>
      <c r="L3455" s="86"/>
      <c r="M3455" s="86"/>
      <c r="N3455" s="86"/>
      <c r="O3455" s="86"/>
    </row>
    <row r="3456" spans="2:15">
      <c r="B3456" s="88"/>
      <c r="C3456" s="86"/>
      <c r="D3456" s="86"/>
      <c r="E3456" s="86"/>
      <c r="F3456" s="86"/>
      <c r="G3456" s="86"/>
      <c r="H3456" s="86"/>
      <c r="I3456" s="86"/>
      <c r="J3456" s="86"/>
      <c r="K3456" s="86"/>
      <c r="L3456" s="86"/>
      <c r="M3456" s="86"/>
      <c r="N3456" s="86"/>
      <c r="O3456" s="86"/>
    </row>
    <row r="3457" spans="2:15">
      <c r="B3457" s="88"/>
      <c r="C3457" s="86"/>
      <c r="D3457" s="86"/>
      <c r="E3457" s="86"/>
      <c r="F3457" s="86"/>
      <c r="G3457" s="86"/>
      <c r="H3457" s="86"/>
      <c r="I3457" s="86"/>
      <c r="J3457" s="86"/>
      <c r="K3457" s="86"/>
      <c r="L3457" s="86"/>
      <c r="M3457" s="86"/>
      <c r="N3457" s="86"/>
      <c r="O3457" s="86"/>
    </row>
    <row r="3458" spans="2:15">
      <c r="B3458" s="88"/>
      <c r="C3458" s="86"/>
      <c r="D3458" s="86"/>
      <c r="E3458" s="86"/>
      <c r="F3458" s="86"/>
      <c r="G3458" s="86"/>
      <c r="H3458" s="86"/>
      <c r="I3458" s="86"/>
      <c r="J3458" s="86"/>
      <c r="K3458" s="86"/>
      <c r="L3458" s="86"/>
      <c r="M3458" s="86"/>
      <c r="N3458" s="86"/>
      <c r="O3458" s="86"/>
    </row>
    <row r="3459" spans="2:15">
      <c r="B3459" s="88"/>
      <c r="C3459" s="86"/>
      <c r="D3459" s="86"/>
      <c r="E3459" s="86"/>
      <c r="F3459" s="86"/>
      <c r="G3459" s="86"/>
      <c r="H3459" s="86"/>
      <c r="I3459" s="86"/>
      <c r="J3459" s="86"/>
      <c r="K3459" s="86"/>
      <c r="L3459" s="86"/>
      <c r="M3459" s="86"/>
      <c r="N3459" s="86"/>
      <c r="O3459" s="86"/>
    </row>
    <row r="3460" spans="2:15">
      <c r="B3460" s="88"/>
      <c r="C3460" s="86"/>
      <c r="D3460" s="86"/>
      <c r="E3460" s="86"/>
      <c r="F3460" s="86"/>
      <c r="G3460" s="86"/>
      <c r="H3460" s="86"/>
      <c r="I3460" s="86"/>
      <c r="J3460" s="86"/>
      <c r="K3460" s="86"/>
      <c r="L3460" s="86"/>
      <c r="M3460" s="86"/>
      <c r="N3460" s="86"/>
      <c r="O3460" s="86"/>
    </row>
    <row r="3461" spans="2:15">
      <c r="B3461" s="88"/>
      <c r="C3461" s="86"/>
      <c r="D3461" s="86"/>
      <c r="E3461" s="86"/>
      <c r="F3461" s="86"/>
      <c r="G3461" s="86"/>
      <c r="H3461" s="86"/>
      <c r="I3461" s="86"/>
      <c r="J3461" s="86"/>
      <c r="K3461" s="86"/>
      <c r="L3461" s="86"/>
      <c r="M3461" s="86"/>
      <c r="N3461" s="86"/>
      <c r="O3461" s="86"/>
    </row>
    <row r="3462" spans="2:15">
      <c r="B3462" s="88"/>
      <c r="C3462" s="86"/>
      <c r="D3462" s="86"/>
      <c r="E3462" s="86"/>
      <c r="F3462" s="86"/>
      <c r="G3462" s="86"/>
      <c r="H3462" s="86"/>
      <c r="I3462" s="86"/>
      <c r="J3462" s="86"/>
      <c r="K3462" s="86"/>
      <c r="L3462" s="86"/>
      <c r="M3462" s="86"/>
      <c r="N3462" s="86"/>
      <c r="O3462" s="86"/>
    </row>
    <row r="3463" spans="2:15">
      <c r="B3463" s="88"/>
      <c r="C3463" s="86"/>
      <c r="D3463" s="86"/>
      <c r="E3463" s="86"/>
      <c r="F3463" s="86"/>
      <c r="G3463" s="86"/>
      <c r="H3463" s="86"/>
      <c r="I3463" s="86"/>
      <c r="J3463" s="86"/>
      <c r="K3463" s="86"/>
      <c r="L3463" s="86"/>
      <c r="M3463" s="86"/>
      <c r="N3463" s="86"/>
      <c r="O3463" s="86"/>
    </row>
    <row r="3464" spans="2:15">
      <c r="B3464" s="88"/>
      <c r="C3464" s="86"/>
      <c r="D3464" s="86"/>
      <c r="E3464" s="86"/>
      <c r="F3464" s="86"/>
      <c r="G3464" s="86"/>
      <c r="H3464" s="86"/>
      <c r="I3464" s="86"/>
      <c r="J3464" s="86"/>
      <c r="K3464" s="86"/>
      <c r="L3464" s="86"/>
      <c r="M3464" s="86"/>
      <c r="N3464" s="86"/>
      <c r="O3464" s="86"/>
    </row>
    <row r="3465" spans="2:15">
      <c r="B3465" s="88"/>
      <c r="C3465" s="86"/>
      <c r="D3465" s="86"/>
      <c r="E3465" s="86"/>
      <c r="F3465" s="86"/>
      <c r="G3465" s="86"/>
      <c r="H3465" s="86"/>
      <c r="I3465" s="86"/>
      <c r="J3465" s="86"/>
      <c r="K3465" s="86"/>
      <c r="L3465" s="86"/>
      <c r="M3465" s="86"/>
      <c r="N3465" s="86"/>
      <c r="O3465" s="86"/>
    </row>
    <row r="3466" spans="2:15">
      <c r="B3466" s="88"/>
      <c r="C3466" s="86"/>
      <c r="D3466" s="86"/>
      <c r="E3466" s="86"/>
      <c r="F3466" s="86"/>
      <c r="G3466" s="86"/>
      <c r="H3466" s="86"/>
      <c r="I3466" s="86"/>
      <c r="J3466" s="86"/>
      <c r="K3466" s="86"/>
      <c r="L3466" s="86"/>
      <c r="M3466" s="86"/>
      <c r="N3466" s="86"/>
      <c r="O3466" s="86"/>
    </row>
    <row r="3467" spans="2:15">
      <c r="B3467" s="88"/>
      <c r="C3467" s="86"/>
      <c r="D3467" s="86"/>
      <c r="E3467" s="86"/>
      <c r="F3467" s="86"/>
      <c r="G3467" s="86"/>
      <c r="H3467" s="86"/>
      <c r="I3467" s="86"/>
      <c r="J3467" s="86"/>
      <c r="K3467" s="86"/>
      <c r="L3467" s="86"/>
      <c r="M3467" s="86"/>
      <c r="N3467" s="86"/>
      <c r="O3467" s="86"/>
    </row>
    <row r="3468" spans="2:15">
      <c r="B3468" s="88"/>
      <c r="C3468" s="86"/>
      <c r="D3468" s="86"/>
      <c r="E3468" s="86"/>
      <c r="F3468" s="86"/>
      <c r="G3468" s="86"/>
      <c r="H3468" s="86"/>
      <c r="I3468" s="86"/>
      <c r="J3468" s="86"/>
      <c r="K3468" s="86"/>
      <c r="L3468" s="86"/>
      <c r="M3468" s="86"/>
      <c r="N3468" s="86"/>
      <c r="O3468" s="86"/>
    </row>
    <row r="3469" spans="2:15">
      <c r="B3469" s="88"/>
      <c r="C3469" s="86"/>
      <c r="D3469" s="86"/>
      <c r="E3469" s="86"/>
      <c r="F3469" s="86"/>
      <c r="G3469" s="86"/>
      <c r="H3469" s="86"/>
      <c r="I3469" s="86"/>
      <c r="J3469" s="86"/>
      <c r="K3469" s="86"/>
      <c r="L3469" s="86"/>
      <c r="M3469" s="86"/>
      <c r="N3469" s="86"/>
      <c r="O3469" s="86"/>
    </row>
    <row r="3470" spans="2:15">
      <c r="B3470" s="88"/>
      <c r="C3470" s="86"/>
      <c r="D3470" s="86"/>
      <c r="E3470" s="86"/>
      <c r="F3470" s="86"/>
      <c r="G3470" s="86"/>
      <c r="H3470" s="86"/>
      <c r="I3470" s="86"/>
      <c r="J3470" s="86"/>
      <c r="K3470" s="86"/>
      <c r="L3470" s="86"/>
      <c r="M3470" s="86"/>
      <c r="N3470" s="86"/>
      <c r="O3470" s="86"/>
    </row>
    <row r="3471" spans="2:15">
      <c r="B3471" s="88"/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</row>
    <row r="3472" spans="2:15">
      <c r="B3472" s="88"/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</row>
    <row r="3473" spans="2:15">
      <c r="B3473" s="88"/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</row>
    <row r="3474" spans="2:15">
      <c r="B3474" s="88"/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</row>
    <row r="3475" spans="2:15">
      <c r="B3475" s="88"/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</row>
    <row r="3476" spans="2:15">
      <c r="B3476" s="88"/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</row>
    <row r="3477" spans="2:15">
      <c r="B3477" s="88"/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</row>
    <row r="3478" spans="2:15">
      <c r="B3478" s="88"/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</row>
    <row r="3479" spans="2:15">
      <c r="B3479" s="88"/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</row>
    <row r="3480" spans="2:15">
      <c r="B3480" s="88"/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</row>
    <row r="3481" spans="2:15">
      <c r="B3481" s="88"/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</row>
    <row r="3482" spans="2:15">
      <c r="B3482" s="88"/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</row>
    <row r="3483" spans="2:15">
      <c r="B3483" s="88"/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</row>
    <row r="3484" spans="2:15">
      <c r="B3484" s="88"/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</row>
    <row r="3485" spans="2:15">
      <c r="B3485" s="88"/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</row>
    <row r="3486" spans="2:15">
      <c r="B3486" s="88"/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</row>
    <row r="3487" spans="2:15">
      <c r="B3487" s="88"/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</row>
    <row r="3488" spans="2:15">
      <c r="B3488" s="88"/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</row>
    <row r="3489" spans="2:15">
      <c r="B3489" s="88"/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</row>
    <row r="3490" spans="2:15">
      <c r="B3490" s="88"/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</row>
    <row r="3491" spans="2:15">
      <c r="B3491" s="88"/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</row>
    <row r="3492" spans="2:15">
      <c r="B3492" s="88"/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</row>
    <row r="3493" spans="2:15">
      <c r="B3493" s="88"/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</row>
    <row r="3494" spans="2:15">
      <c r="B3494" s="88"/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</row>
    <row r="3495" spans="2:15">
      <c r="B3495" s="88"/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</row>
    <row r="3496" spans="2:15">
      <c r="B3496" s="88"/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</row>
    <row r="3497" spans="2:15">
      <c r="B3497" s="88"/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</row>
    <row r="3498" spans="2:15">
      <c r="B3498" s="88"/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</row>
    <row r="3499" spans="2:15">
      <c r="B3499" s="88"/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</row>
    <row r="3500" spans="2:15">
      <c r="B3500" s="88"/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</row>
    <row r="3501" spans="2:15">
      <c r="B3501" s="88"/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</row>
    <row r="3502" spans="2:15">
      <c r="B3502" s="88"/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</row>
    <row r="3503" spans="2:15">
      <c r="B3503" s="88"/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</row>
    <row r="3504" spans="2:15">
      <c r="B3504" s="88"/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</row>
    <row r="3505" spans="2:15">
      <c r="B3505" s="88"/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</row>
    <row r="3506" spans="2:15">
      <c r="B3506" s="88"/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</row>
    <row r="3507" spans="2:15">
      <c r="B3507" s="88"/>
      <c r="C3507" s="86"/>
      <c r="D3507" s="86"/>
      <c r="E3507" s="86"/>
      <c r="F3507" s="86"/>
      <c r="G3507" s="86"/>
      <c r="H3507" s="86"/>
      <c r="I3507" s="86"/>
      <c r="J3507" s="86"/>
      <c r="K3507" s="86"/>
      <c r="L3507" s="86"/>
      <c r="M3507" s="86"/>
      <c r="N3507" s="86"/>
      <c r="O3507" s="86"/>
    </row>
    <row r="3508" spans="2:15">
      <c r="B3508" s="88"/>
      <c r="C3508" s="86"/>
      <c r="D3508" s="86"/>
      <c r="E3508" s="86"/>
      <c r="F3508" s="86"/>
      <c r="G3508" s="86"/>
      <c r="H3508" s="86"/>
      <c r="I3508" s="86"/>
      <c r="J3508" s="86"/>
      <c r="K3508" s="86"/>
      <c r="L3508" s="86"/>
      <c r="M3508" s="86"/>
      <c r="N3508" s="86"/>
      <c r="O3508" s="86"/>
    </row>
    <row r="3509" spans="2:15">
      <c r="B3509" s="88"/>
      <c r="C3509" s="86"/>
      <c r="D3509" s="86"/>
      <c r="E3509" s="86"/>
      <c r="F3509" s="86"/>
      <c r="G3509" s="86"/>
      <c r="H3509" s="86"/>
      <c r="I3509" s="86"/>
      <c r="J3509" s="86"/>
      <c r="K3509" s="86"/>
      <c r="L3509" s="86"/>
      <c r="M3509" s="86"/>
      <c r="N3509" s="86"/>
      <c r="O3509" s="86"/>
    </row>
    <row r="3510" spans="2:15">
      <c r="B3510" s="88"/>
      <c r="C3510" s="86"/>
      <c r="D3510" s="86"/>
      <c r="E3510" s="86"/>
      <c r="F3510" s="86"/>
      <c r="G3510" s="86"/>
      <c r="H3510" s="86"/>
      <c r="I3510" s="86"/>
      <c r="J3510" s="86"/>
      <c r="K3510" s="86"/>
      <c r="L3510" s="86"/>
      <c r="M3510" s="86"/>
      <c r="N3510" s="86"/>
      <c r="O3510" s="86"/>
    </row>
    <row r="3511" spans="2:15">
      <c r="B3511" s="88"/>
      <c r="C3511" s="86"/>
      <c r="D3511" s="86"/>
      <c r="E3511" s="86"/>
      <c r="F3511" s="86"/>
      <c r="G3511" s="86"/>
      <c r="H3511" s="86"/>
      <c r="I3511" s="86"/>
      <c r="J3511" s="86"/>
      <c r="K3511" s="86"/>
      <c r="L3511" s="86"/>
      <c r="M3511" s="86"/>
      <c r="N3511" s="86"/>
      <c r="O3511" s="86"/>
    </row>
    <row r="3512" spans="2:15">
      <c r="B3512" s="88"/>
      <c r="C3512" s="86"/>
      <c r="D3512" s="86"/>
      <c r="E3512" s="86"/>
      <c r="F3512" s="86"/>
      <c r="G3512" s="86"/>
      <c r="H3512" s="86"/>
      <c r="I3512" s="86"/>
      <c r="J3512" s="86"/>
      <c r="K3512" s="86"/>
      <c r="L3512" s="86"/>
      <c r="M3512" s="86"/>
      <c r="N3512" s="86"/>
      <c r="O3512" s="86"/>
    </row>
    <row r="3513" spans="2:15">
      <c r="B3513" s="88"/>
      <c r="C3513" s="86"/>
      <c r="D3513" s="86"/>
      <c r="E3513" s="86"/>
      <c r="F3513" s="86"/>
      <c r="G3513" s="86"/>
      <c r="H3513" s="86"/>
      <c r="I3513" s="86"/>
      <c r="J3513" s="86"/>
      <c r="K3513" s="86"/>
      <c r="L3513" s="86"/>
      <c r="M3513" s="86"/>
      <c r="N3513" s="86"/>
      <c r="O3513" s="86"/>
    </row>
    <row r="3514" spans="2:15">
      <c r="B3514" s="88"/>
      <c r="C3514" s="86"/>
      <c r="D3514" s="86"/>
      <c r="E3514" s="86"/>
      <c r="F3514" s="86"/>
      <c r="G3514" s="86"/>
      <c r="H3514" s="86"/>
      <c r="I3514" s="86"/>
      <c r="J3514" s="86"/>
      <c r="K3514" s="86"/>
      <c r="L3514" s="86"/>
      <c r="M3514" s="86"/>
      <c r="N3514" s="86"/>
      <c r="O3514" s="86"/>
    </row>
    <row r="3515" spans="2:15">
      <c r="B3515" s="88"/>
      <c r="C3515" s="86"/>
      <c r="D3515" s="86"/>
      <c r="E3515" s="86"/>
      <c r="F3515" s="86"/>
      <c r="G3515" s="86"/>
      <c r="H3515" s="86"/>
      <c r="I3515" s="86"/>
      <c r="J3515" s="86"/>
      <c r="K3515" s="86"/>
      <c r="L3515" s="86"/>
      <c r="M3515" s="86"/>
      <c r="N3515" s="86"/>
      <c r="O3515" s="86"/>
    </row>
    <row r="3516" spans="2:15">
      <c r="B3516" s="88"/>
      <c r="C3516" s="86"/>
      <c r="D3516" s="86"/>
      <c r="E3516" s="86"/>
      <c r="F3516" s="86"/>
      <c r="G3516" s="86"/>
      <c r="H3516" s="86"/>
      <c r="I3516" s="86"/>
      <c r="J3516" s="86"/>
      <c r="K3516" s="86"/>
      <c r="L3516" s="86"/>
      <c r="M3516" s="86"/>
      <c r="N3516" s="86"/>
      <c r="O3516" s="86"/>
    </row>
    <row r="3517" spans="2:15">
      <c r="B3517" s="88"/>
      <c r="C3517" s="86"/>
      <c r="D3517" s="86"/>
      <c r="E3517" s="86"/>
      <c r="F3517" s="86"/>
      <c r="G3517" s="86"/>
      <c r="H3517" s="86"/>
      <c r="I3517" s="86"/>
      <c r="J3517" s="86"/>
      <c r="K3517" s="86"/>
      <c r="L3517" s="86"/>
      <c r="M3517" s="86"/>
      <c r="N3517" s="86"/>
      <c r="O3517" s="86"/>
    </row>
    <row r="3518" spans="2:15">
      <c r="B3518" s="88"/>
      <c r="C3518" s="86"/>
      <c r="D3518" s="86"/>
      <c r="E3518" s="86"/>
      <c r="F3518" s="86"/>
      <c r="G3518" s="86"/>
      <c r="H3518" s="86"/>
      <c r="I3518" s="86"/>
      <c r="J3518" s="86"/>
      <c r="K3518" s="86"/>
      <c r="L3518" s="86"/>
      <c r="M3518" s="86"/>
      <c r="N3518" s="86"/>
      <c r="O3518" s="86"/>
    </row>
    <row r="3519" spans="2:15">
      <c r="B3519" s="88"/>
      <c r="C3519" s="86"/>
      <c r="D3519" s="86"/>
      <c r="E3519" s="86"/>
      <c r="F3519" s="86"/>
      <c r="G3519" s="86"/>
      <c r="H3519" s="86"/>
      <c r="I3519" s="86"/>
      <c r="J3519" s="86"/>
      <c r="K3519" s="86"/>
      <c r="L3519" s="86"/>
      <c r="M3519" s="86"/>
      <c r="N3519" s="86"/>
      <c r="O3519" s="86"/>
    </row>
    <row r="3520" spans="2:15">
      <c r="B3520" s="88"/>
      <c r="C3520" s="86"/>
      <c r="D3520" s="86"/>
      <c r="E3520" s="86"/>
      <c r="F3520" s="86"/>
      <c r="G3520" s="86"/>
      <c r="H3520" s="86"/>
      <c r="I3520" s="86"/>
      <c r="J3520" s="86"/>
      <c r="K3520" s="86"/>
      <c r="L3520" s="86"/>
      <c r="M3520" s="86"/>
      <c r="N3520" s="86"/>
      <c r="O3520" s="86"/>
    </row>
    <row r="3521" spans="2:15">
      <c r="B3521" s="88"/>
      <c r="C3521" s="86"/>
      <c r="D3521" s="86"/>
      <c r="E3521" s="86"/>
      <c r="F3521" s="86"/>
      <c r="G3521" s="86"/>
      <c r="H3521" s="86"/>
      <c r="I3521" s="86"/>
      <c r="J3521" s="86"/>
      <c r="K3521" s="86"/>
      <c r="L3521" s="86"/>
      <c r="M3521" s="86"/>
      <c r="N3521" s="86"/>
      <c r="O3521" s="86"/>
    </row>
    <row r="3522" spans="2:15">
      <c r="B3522" s="88"/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</row>
    <row r="3523" spans="2:15">
      <c r="B3523" s="88"/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</row>
    <row r="3524" spans="2:15">
      <c r="B3524" s="88"/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</row>
    <row r="3525" spans="2:15">
      <c r="B3525" s="88"/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</row>
    <row r="3526" spans="2:15">
      <c r="B3526" s="88"/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</row>
    <row r="3527" spans="2:15">
      <c r="B3527" s="88"/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</row>
    <row r="3528" spans="2:15">
      <c r="B3528" s="88"/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</row>
    <row r="3529" spans="2:15">
      <c r="B3529" s="88"/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</row>
    <row r="3530" spans="2:15">
      <c r="B3530" s="88"/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</row>
    <row r="3531" spans="2:15">
      <c r="B3531" s="88"/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</row>
    <row r="3532" spans="2:15">
      <c r="B3532" s="88"/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</row>
    <row r="3533" spans="2:15">
      <c r="B3533" s="88"/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</row>
    <row r="3534" spans="2:15">
      <c r="B3534" s="88"/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</row>
    <row r="3535" spans="2:15">
      <c r="B3535" s="88"/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</row>
  </sheetData>
  <sheetProtection sheet="1" objects="1" scenarios="1"/>
  <mergeCells count="16">
    <mergeCell ref="D19:AA19"/>
    <mergeCell ref="D1:S1"/>
    <mergeCell ref="B2:C2"/>
    <mergeCell ref="B3:C3"/>
    <mergeCell ref="N17:S17"/>
    <mergeCell ref="B6:C6"/>
    <mergeCell ref="B7:C7"/>
    <mergeCell ref="F11:I11"/>
    <mergeCell ref="F12:I12"/>
    <mergeCell ref="N10:Q10"/>
    <mergeCell ref="N11:Q11"/>
    <mergeCell ref="N12:Q12"/>
    <mergeCell ref="D9:S9"/>
    <mergeCell ref="N16:S16"/>
    <mergeCell ref="F10:I10"/>
    <mergeCell ref="D5:S5"/>
  </mergeCells>
  <conditionalFormatting sqref="D3:S3">
    <cfRule type="duplicateValues" dxfId="7" priority="3"/>
  </conditionalFormatting>
  <conditionalFormatting sqref="D7:S7">
    <cfRule type="duplicateValues" dxfId="6" priority="1"/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How it works</vt:lpstr>
      <vt:lpstr>Let's Try it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2011-10-25T00:50:01Z</dcterms:created>
  <dcterms:modified xsi:type="dcterms:W3CDTF">2011-10-27T00:33:41Z</dcterms:modified>
</cp:coreProperties>
</file>